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dmin1\Downloads\Thème1 Webinaire cybersécurité professionnelle\"/>
    </mc:Choice>
  </mc:AlternateContent>
  <xr:revisionPtr revIDLastSave="0" documentId="13_ncr:1_{DA502890-5BB3-4B6F-81A1-9B80F1075CCB}" xr6:coauthVersionLast="47" xr6:coauthVersionMax="47" xr10:uidLastSave="{00000000-0000-0000-0000-000000000000}"/>
  <bookViews>
    <workbookView xWindow="28680" yWindow="-120" windowWidth="29040" windowHeight="15720" tabRatio="500" xr2:uid="{00000000-000D-0000-FFFF-FFFF00000000}"/>
  </bookViews>
  <sheets>
    <sheet name="Mode d'emploi" sheetId="1" r:id="rId1"/>
    <sheet name="1. Inventaire des actifs" sheetId="2" r:id="rId2"/>
    <sheet name="2. Plan 90 jours" sheetId="3" r:id="rId3"/>
    <sheet name="3. Indicateurs" sheetId="4" r:id="rId4"/>
    <sheet name="4. Tableau de bord" sheetId="5" r:id="rId5"/>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27" i="5" l="1"/>
  <c r="C27" i="5"/>
  <c r="B27" i="5"/>
  <c r="E26" i="5"/>
  <c r="D26" i="5"/>
  <c r="C26" i="5"/>
  <c r="B26" i="5"/>
  <c r="F25" i="5"/>
  <c r="E25" i="5"/>
  <c r="D25" i="5"/>
  <c r="C25" i="5"/>
  <c r="B25" i="5"/>
  <c r="E24" i="5"/>
  <c r="D24" i="5"/>
  <c r="C24" i="5"/>
  <c r="B24" i="5"/>
  <c r="E23" i="5"/>
  <c r="D23" i="5"/>
  <c r="C23" i="5"/>
  <c r="B23" i="5"/>
  <c r="C12" i="5"/>
  <c r="C11" i="5"/>
  <c r="C10" i="5"/>
  <c r="C6" i="5"/>
  <c r="G8" i="4"/>
  <c r="F26" i="5" s="1"/>
  <c r="G7" i="4"/>
  <c r="G6" i="4"/>
  <c r="F24" i="5" s="1"/>
  <c r="G5" i="4"/>
  <c r="F23" i="5" s="1"/>
  <c r="K25" i="3"/>
  <c r="I25" i="3"/>
  <c r="G25" i="3"/>
  <c r="K24" i="3"/>
  <c r="D19" i="5" s="1"/>
  <c r="I24" i="3"/>
  <c r="G24" i="3"/>
  <c r="K23" i="3"/>
  <c r="I23" i="3"/>
  <c r="G23" i="3"/>
  <c r="K22" i="3"/>
  <c r="I22" i="3"/>
  <c r="G22" i="3"/>
  <c r="K21" i="3"/>
  <c r="I21" i="3"/>
  <c r="G21" i="3"/>
  <c r="K20" i="3"/>
  <c r="I20" i="3"/>
  <c r="G20" i="3"/>
  <c r="K19" i="3"/>
  <c r="I19" i="3"/>
  <c r="G19" i="3"/>
  <c r="K18" i="3"/>
  <c r="I18" i="3"/>
  <c r="G18" i="3"/>
  <c r="K17" i="3"/>
  <c r="I17" i="3"/>
  <c r="G17" i="3"/>
  <c r="K16" i="3"/>
  <c r="D18" i="5" s="1"/>
  <c r="I16" i="3"/>
  <c r="G16" i="3"/>
  <c r="K15" i="3"/>
  <c r="I15" i="3"/>
  <c r="G15" i="3"/>
  <c r="K14" i="3"/>
  <c r="I14" i="3"/>
  <c r="G14" i="3"/>
  <c r="K13" i="3"/>
  <c r="I13" i="3"/>
  <c r="G13" i="3"/>
  <c r="K12" i="3"/>
  <c r="I12" i="3"/>
  <c r="G12" i="3"/>
  <c r="K11" i="3"/>
  <c r="I11" i="3"/>
  <c r="G11" i="3"/>
  <c r="K10" i="3"/>
  <c r="I10" i="3"/>
  <c r="G10" i="3"/>
  <c r="K9" i="3"/>
  <c r="I9" i="3"/>
  <c r="G9" i="3"/>
  <c r="K8" i="3"/>
  <c r="D17" i="5" s="1"/>
  <c r="I8" i="3"/>
  <c r="G8" i="3"/>
  <c r="K7" i="3"/>
  <c r="I7" i="3"/>
  <c r="G7" i="3"/>
  <c r="K6" i="3"/>
  <c r="I6" i="3"/>
  <c r="G6" i="3"/>
  <c r="K5" i="3"/>
  <c r="C9" i="5" s="1"/>
  <c r="I5" i="3"/>
  <c r="G5" i="3"/>
  <c r="K34" i="2"/>
  <c r="L34" i="2" s="1"/>
  <c r="K33" i="2"/>
  <c r="L33" i="2" s="1"/>
  <c r="L32" i="2"/>
  <c r="K32" i="2"/>
  <c r="K31" i="2"/>
  <c r="L31" i="2" s="1"/>
  <c r="K30" i="2"/>
  <c r="L30" i="2" s="1"/>
  <c r="K29" i="2"/>
  <c r="L29" i="2" s="1"/>
  <c r="L28" i="2"/>
  <c r="K28" i="2"/>
  <c r="K27" i="2"/>
  <c r="L27" i="2" s="1"/>
  <c r="K26" i="2"/>
  <c r="L26" i="2" s="1"/>
  <c r="K25" i="2"/>
  <c r="L25" i="2" s="1"/>
  <c r="L24" i="2"/>
  <c r="K24" i="2"/>
  <c r="K23" i="2"/>
  <c r="L23" i="2" s="1"/>
  <c r="K22" i="2"/>
  <c r="L22" i="2" s="1"/>
  <c r="K21" i="2"/>
  <c r="L21" i="2" s="1"/>
  <c r="L20" i="2"/>
  <c r="K20" i="2"/>
  <c r="K19" i="2"/>
  <c r="L19" i="2" s="1"/>
  <c r="K18" i="2"/>
  <c r="L18" i="2" s="1"/>
  <c r="K17" i="2"/>
  <c r="L17" i="2" s="1"/>
  <c r="L16" i="2"/>
  <c r="K16" i="2"/>
  <c r="K15" i="2"/>
  <c r="L15" i="2" s="1"/>
  <c r="K14" i="2"/>
  <c r="L14" i="2" s="1"/>
  <c r="K13" i="2"/>
  <c r="L13" i="2" s="1"/>
  <c r="L12" i="2"/>
  <c r="K12" i="2"/>
  <c r="K11" i="2"/>
  <c r="L11" i="2" s="1"/>
  <c r="K10" i="2"/>
  <c r="L10" i="2" s="1"/>
  <c r="K9" i="2"/>
  <c r="L9" i="2" s="1"/>
  <c r="L8" i="2"/>
  <c r="K8" i="2"/>
  <c r="K7" i="2"/>
  <c r="L7" i="2" s="1"/>
  <c r="K6" i="2"/>
  <c r="L6" i="2" s="1"/>
  <c r="K5" i="2"/>
  <c r="L5" i="2" s="1"/>
  <c r="C13" i="5" l="1"/>
  <c r="E9" i="4"/>
  <c r="D27" i="5" l="1"/>
  <c r="G9" i="4"/>
  <c r="F27" i="5" s="1"/>
</calcChain>
</file>

<file path=xl/sharedStrings.xml><?xml version="1.0" encoding="utf-8"?>
<sst xmlns="http://schemas.openxmlformats.org/spreadsheetml/2006/main" count="255" uniqueCount="203">
  <si>
    <t>PLAN 90 JOURS — PROTECTION DES ACTIFS</t>
  </si>
  <si>
    <t>Webinaire « Protéger les actifs de son entreprise en 90 jours » — Isaïe Djrolo, architecte sécurité</t>
  </si>
  <si>
    <t>À quoi sert ce classeur</t>
  </si>
  <si>
    <t>Objectif</t>
  </si>
  <si>
    <t>Passer d'une intention (« il faudrait sécuriser ») à un plan daté, chiffré et présentable à une direction, en trois vagues de 30 jours. Le classeur se remplit dans l'ordre des onglets.</t>
  </si>
  <si>
    <t>Temps nécessaire</t>
  </si>
  <si>
    <t>Environ 2 heures pour l'inventaire initial, puis 20 minutes par semaine pour la mise à jour du suivi.</t>
  </si>
  <si>
    <t>Qui le remplit</t>
  </si>
  <si>
    <t>La personne responsable de l'informatique, idéalement avec un représentant de la direction pour la cotation des impacts.</t>
  </si>
  <si>
    <t>Ordre d'utilisation</t>
  </si>
  <si>
    <t>Onglet 1 — Inventaire des actifs</t>
  </si>
  <si>
    <t>Lister les actifs qui comptent : données, comptes, services, équipements, dépendances fournisseurs. Viser 15 à 30 lignes, pas 300. Coter les deux impacts ; la criticité et la priorité se calculent seules.</t>
  </si>
  <si>
    <t>Onglet 2 — Plan 90 jours</t>
  </si>
  <si>
    <t>21 mesures pré-remplies, réparties en trois vagues. Attribuer un responsable, ajuster les échéances, mettre à jour la colonne Statut. Les mesures non pertinentes se marquent « Non applicable » plutôt que de se supprimer.</t>
  </si>
  <si>
    <t>Onglet 3 — Indicateurs</t>
  </si>
  <si>
    <t>Cinq mesures de progrès. Renseigner la valeur de départ le premier jour : sans point de départ, il n'y a pas de progrès démontrable.</t>
  </si>
  <si>
    <t>Onglet 4 — Tableau de bord</t>
  </si>
  <si>
    <t>Se calcule automatiquement à partir des onglets 2 et 3. C'est la page à projeter en comité de direction.</t>
  </si>
  <si>
    <t>Code couleur</t>
  </si>
  <si>
    <t>Cellule jaune</t>
  </si>
  <si>
    <t>À remplir par vous. Tout le reste est soit du contenu fourni, soit un calcul automatique — à ne pas écraser.</t>
  </si>
  <si>
    <t>Texte bleu</t>
  </si>
  <si>
    <t>Donnée saisie manuellement.</t>
  </si>
  <si>
    <t>Texte gris italique</t>
  </si>
  <si>
    <t>Ligne d'exemple, à supprimer une fois vos propres données saisies.</t>
  </si>
  <si>
    <t>Conventions de calcul</t>
  </si>
  <si>
    <t>Criticité d'un actif = plus fort des deux impacts (indisponibilité, divulgation), augmenté de 1 point si l'actif est exposé sur Internet, plafonné à 4. La criticité obtenue devient la priorité de traitement : 4 = Critique, 3 = Élevée, 2 = Moyenne, 1 = Faible.</t>
  </si>
  <si>
    <t>Avancement d'une mesure : « Fait » = 100 %, « En cours » = 50 %, « Non démarré » = 0 %. Les mesures marquées « Non applicable » sont exclues du calcul.</t>
  </si>
  <si>
    <t>Priorité d'une mesure = réduction du risque divisée par l'effort. Elle sert à trier les mesures à l'intérieur d'une vague, jamais d'une vague à l'autre : c'est l'ordre des vagues qui porte la priorité réelle. Le barème des deux cotations figure en bas de l'onglet « 2. Plan 90 jours ».</t>
  </si>
  <si>
    <t>Avertissement</t>
  </si>
  <si>
    <t>Ce classeur est un outil de priorisation, pas une attestation de conformité. Il ne remplace ni une analyse de risques formelle ni un audit indépendant.</t>
  </si>
  <si>
    <t>1. INVENTAIRE DES ACTIFS</t>
  </si>
  <si>
    <t>Objectif : savoir ce que l'on protège avant de décider comment. Les trois premières lignes sont des exemples à supprimer.</t>
  </si>
  <si>
    <t>ID</t>
  </si>
  <si>
    <t>Actif</t>
  </si>
  <si>
    <t>Type</t>
  </si>
  <si>
    <t>Description</t>
  </si>
  <si>
    <t>Propriétaire métier</t>
  </si>
  <si>
    <t>Hébergement</t>
  </si>
  <si>
    <t>Exposé sur Internet</t>
  </si>
  <si>
    <t>Contient des données sensibles</t>
  </si>
  <si>
    <t>Impact si indisponible (1-4)</t>
  </si>
  <si>
    <t>Impact si divulgué (1-4)</t>
  </si>
  <si>
    <t>Criticité (calcul)</t>
  </si>
  <si>
    <t>Priorité de traitement</t>
  </si>
  <si>
    <t>A01</t>
  </si>
  <si>
    <t>Base de données clients</t>
  </si>
  <si>
    <t>Donnée</t>
  </si>
  <si>
    <t>Coordonnées et historique de facturation de 4 200 clients</t>
  </si>
  <si>
    <t>Direction commerciale</t>
  </si>
  <si>
    <t>Serveur interne</t>
  </si>
  <si>
    <t>Non</t>
  </si>
  <si>
    <t>Oui</t>
  </si>
  <si>
    <t>A02</t>
  </si>
  <si>
    <t>Comptes administrateurs Microsoft 365</t>
  </si>
  <si>
    <t>Compte</t>
  </si>
  <si>
    <t>6 comptes disposant de droits d'administration globale</t>
  </si>
  <si>
    <t>Responsable TI</t>
  </si>
  <si>
    <t>Infonuagique</t>
  </si>
  <si>
    <t>A03</t>
  </si>
  <si>
    <t>Site de commande en ligne</t>
  </si>
  <si>
    <t>Service</t>
  </si>
  <si>
    <t>Prise de commande des clients, 60 % du chiffre d'affaires</t>
  </si>
  <si>
    <t>Direction générale</t>
  </si>
  <si>
    <t>Hébergeur externe</t>
  </si>
  <si>
    <t>Échelle d'impact</t>
  </si>
  <si>
    <t>1 — Négligeable</t>
  </si>
  <si>
    <t>Gêne interne, aucune conséquence pour les clients ni pour la direction.</t>
  </si>
  <si>
    <t>2 — Modéré</t>
  </si>
  <si>
    <t>Perturbation d'une équipe pendant moins d'une journée.</t>
  </si>
  <si>
    <t>3 — Important</t>
  </si>
  <si>
    <t>Activité dégradée, clients affectés, obligation d'informer la direction.</t>
  </si>
  <si>
    <t>4 — Critique</t>
  </si>
  <si>
    <t>Arrêt d'activité, obligation légale de notification, atteinte à la réputation.</t>
  </si>
  <si>
    <t>Correspondance criticité → priorité de traitement</t>
  </si>
  <si>
    <t>Criticité 1</t>
  </si>
  <si>
    <t>Priorité Faible — à traiter quand les autres sont réglées.</t>
  </si>
  <si>
    <t>Criticité 2</t>
  </si>
  <si>
    <t>Priorité Moyenne — à planifier dans l'année.</t>
  </si>
  <si>
    <t>Criticité 3</t>
  </si>
  <si>
    <t>Priorité Élevée — à traiter dans les 90 jours.</t>
  </si>
  <si>
    <t>Criticité 4</t>
  </si>
  <si>
    <t>Priorité Critique — à traiter dans les 30 premiers jours.</t>
  </si>
  <si>
    <t>L'échelle d'impact ci-dessus (Négligeable, Modéré, Important, Critique) sert à coter ce que l'on subit. L'échelle de priorité (Faible, Moyenne, Élevée, Critique) exprime la décision qui en découle. Elles ne se superposent pas toujours : un actif coté « Important » sur ses deux impacts mais exposé sur Internet ressort en priorité Critique, à cause du point ajouté pour l'exposition.</t>
  </si>
  <si>
    <t>2. PLAN 90 JOURS — 21 MESURES PRIORISÉES</t>
  </si>
  <si>
    <t>Colonnes jaunes à remplir. L'échéance se calcule à partir de la date de lancement saisie dans l'onglet Tableau de bord.</t>
  </si>
  <si>
    <t>N°</t>
  </si>
  <si>
    <t>Vague</t>
  </si>
  <si>
    <t>Mesure</t>
  </si>
  <si>
    <t>Preuve attendue</t>
  </si>
  <si>
    <t>Effort (1-3)</t>
  </si>
  <si>
    <t>Réduction du risque (1-3)</t>
  </si>
  <si>
    <t>Priorité (calcul)</t>
  </si>
  <si>
    <t>Responsable</t>
  </si>
  <si>
    <t>Échéance</t>
  </si>
  <si>
    <t>Statut</t>
  </si>
  <si>
    <t>Avancement</t>
  </si>
  <si>
    <t>Vague 1</t>
  </si>
  <si>
    <t>Activer l'authentification multifacteur sur tous les accès distants et tous les comptes d'administration</t>
  </si>
  <si>
    <t>Copie d'écran de la politique + liste des comptes couverts</t>
  </si>
  <si>
    <t>Non démarré</t>
  </si>
  <si>
    <t>Recenser les comptes à privilèges et supprimer les comptes orphelins ou inactifs depuis plus de 90 jours</t>
  </si>
  <si>
    <t>Liste des comptes avant / après, avec date de désactivation</t>
  </si>
  <si>
    <t>Appliquer les correctifs critiques sur tous les actifs exposés sur Internet</t>
  </si>
  <si>
    <t>Rapport de vulnérabilités daté, avant et après</t>
  </si>
  <si>
    <t>Vérifier l'existence d'une copie de sauvegarde hors ligne ou non modifiable des données critiques</t>
  </si>
  <si>
    <t>Description du dispositif et date de la dernière copie</t>
  </si>
  <si>
    <t>Réaliser un test de restauration réel sur un actif critique</t>
  </si>
  <si>
    <t>Compte rendu de test : durée, données restaurées, écarts constatés</t>
  </si>
  <si>
    <t>Fermer les accès d'administration exposés directement sur Internet (bureau à distance, SSH, consoles)</t>
  </si>
  <si>
    <t>Résultat d'un balayage externe des ports ouverts</t>
  </si>
  <si>
    <t>Activer la journalisation des authentifications, des actions d'administration et des accès distants, avec 90 jours de conservation</t>
  </si>
  <si>
    <t>Capture de la configuration de conservation des journaux</t>
  </si>
  <si>
    <t>Rédiger la procédure de signalement d'incident sur une page et diffuser les contacts d'urgence</t>
  </si>
  <si>
    <t>Document d'une page diffusé et affiché</t>
  </si>
  <si>
    <t>Vague 2</t>
  </si>
  <si>
    <t>Séparer les comptes d'administration des comptes de travail quotidiens</t>
  </si>
  <si>
    <t>Liste nominative des comptes d'administration dédiés</t>
  </si>
  <si>
    <t>Déployer un gestionnaire de mots de passe et adopter une politique de phrases de passe</t>
  </si>
  <si>
    <t>Taux d'adoption mesuré dans la console de l'outil</t>
  </si>
  <si>
    <t>Durcir les postes de travail : chiffrement du disque, pare-feu actif, antivirus centralisé, mises à jour automatiques</t>
  </si>
  <si>
    <t>Rapport de conformité du parc, poste par poste</t>
  </si>
  <si>
    <t>Encadrer les accès des prestataires : comptes nominatifs, durée limitée, retrait à la fin du contrat</t>
  </si>
  <si>
    <t>Registre des accès prestataires avec dates de fin</t>
  </si>
  <si>
    <t>Protéger la messagerie : enregistrements SPF, DKIM et DMARC, filtrage anti-hameçonnage, bannière sur les courriels externes</t>
  </si>
  <si>
    <t>Résultat d'un outil de vérification des enregistrements du domaine</t>
  </si>
  <si>
    <t>Revoir les partages de fichiers et supprimer les liens publics devenus inutiles</t>
  </si>
  <si>
    <t>Liste des partages ouverts avant / après</t>
  </si>
  <si>
    <t>Organiser une session de sensibilisation et une simulation d'hameçonnage</t>
  </si>
  <si>
    <t>Taux de participation et taux de clic sur la simulation</t>
  </si>
  <si>
    <t>Vague 3</t>
  </si>
  <si>
    <t>Classer les données selon quatre niveaux de confidentialité sur les trois principaux dépôts</t>
  </si>
  <si>
    <t>Grille de classification approuvée par la direction</t>
  </si>
  <si>
    <t>Rédiger un plan de réponse à incident d'une page et le tester par un exercice sur table de deux heures</t>
  </si>
  <si>
    <t>Compte rendu de l'exercice et actions correctives identifiées</t>
  </si>
  <si>
    <t>Mettre en place la revue trimestrielle des accès (employés, prestataires, comptes de service)</t>
  </si>
  <si>
    <t>Première revue signée par les responsables métier</t>
  </si>
  <si>
    <t>Mettre en place des alertes sur les connexions d'administration inhabituelles et les échecs d'authentification en rafale</t>
  </si>
  <si>
    <t>Copie d'écran des règles d'alerte et d'une alerte de test</t>
  </si>
  <si>
    <t>Tenir un registre des dérogations et faire signer l'acceptation des risques résiduels</t>
  </si>
  <si>
    <t>Registre signé par la direction</t>
  </si>
  <si>
    <t>Présenter le tableau de bord des cinq indicateurs à la direction</t>
  </si>
  <si>
    <t>Compte rendu de la réunion et décisions prises</t>
  </si>
  <si>
    <t>Lecture de la colonne Priorité : elle ne se compare qu'à l'intérieur d'une même vague. C'est l'ordre des vagues qui porte la priorité réelle ; le ratio ne fait que trier les mesures entre elles au sein d'une vague. Une mesure peu coûteuse et modérément efficace peut afficher un ratio élevé sans devoir passer avant une mesure de la vague précédente.</t>
  </si>
  <si>
    <t>Barème de cotation</t>
  </si>
  <si>
    <t>Ces valeurs sont des estimations établies pour une organisation de 40 à 100 personnes sans équipe de sécurité dédiée. Elles ne proviennent d'aucun référentiel normatif et sont faites pour être rediscutées et ajustées à votre contexte.</t>
  </si>
  <si>
    <t>Effort — charge réelle de mise en œuvre</t>
  </si>
  <si>
    <t>1</t>
  </si>
  <si>
    <t>Moins d'une journée-personne. Une seule personne décide et exécute, sans coordination avec d'autres équipes.</t>
  </si>
  <si>
    <t>2</t>
  </si>
  <si>
    <t>De quelques jours à deux semaines. Nécessite la coordination d'une ou deux autres équipes, ou d'un fournisseur.</t>
  </si>
  <si>
    <t>3</t>
  </si>
  <si>
    <t>Projet de plusieurs semaines touchant l'ensemble du parc ou l'ensemble des utilisateurs.</t>
  </si>
  <si>
    <t>Réduction du risque — mesurée contre des scénarios d'attaque réellement observés</t>
  </si>
  <si>
    <t>Rend impossible ou très coûteux un mode d'entrée courant : identifiants volés, actif exposé non corrigé, sauvegarde chiffrée en même temps que le reste.</t>
  </si>
  <si>
    <t>Ne bloque pas l'entrée, mais réduit l'ampleur, la durée ou le coût de l'incident, ou la capacité à le comprendre après coup.</t>
  </si>
  <si>
    <t>Apport de maturité sans effet direct sur un scénario d'attaque observé.</t>
  </si>
  <si>
    <t>Aucune des vingt et une mesures n'est cotée 1 en réduction du risque : elles ont toutes été retenues parce qu'elles produisent un effet. L'échelle fonctionne donc en pratique sur deux niveaux.</t>
  </si>
  <si>
    <t>3. LES CINQ INDICATEURS</t>
  </si>
  <si>
    <t>Renseigner la valeur de départ dès le premier jour : sans point de départ, aucun progrès n'est démontrable.</t>
  </si>
  <si>
    <t>Indicateur</t>
  </si>
  <si>
    <t>Comment le mesurer</t>
  </si>
  <si>
    <t>Sens souhaité</t>
  </si>
  <si>
    <t>Valeur de départ</t>
  </si>
  <si>
    <t>Valeur actuelle</t>
  </si>
  <si>
    <t>Cible à 90 jours</t>
  </si>
  <si>
    <t>Statut (calcul)</t>
  </si>
  <si>
    <t>Part des comptes à privilèges protégés par authentification multifacteur</t>
  </si>
  <si>
    <t>Nombre de comptes d'administration avec MFA divisé par le nombre total de comptes d'administration</t>
  </si>
  <si>
    <t>Hausse</t>
  </si>
  <si>
    <t>Délai moyen de correction des vulnérabilités critiques exposées (jours)</t>
  </si>
  <si>
    <t>Moyenne des délais entre publication du correctif et application, sur les actifs exposés</t>
  </si>
  <si>
    <t>Baisse</t>
  </si>
  <si>
    <t>Jours écoulés depuis le dernier test de restauration réussi</t>
  </si>
  <si>
    <t>Date du jour moins date du dernier test de restauration documenté</t>
  </si>
  <si>
    <t>Part des comptes inactifs depuis plus de 90 jours</t>
  </si>
  <si>
    <t>Comptes sans connexion depuis 90 jours divisés par le nombre total de comptes</t>
  </si>
  <si>
    <t>Part du plan 90 jours réalisée</t>
  </si>
  <si>
    <t>Calcul automatique à partir de l'onglet Plan 90 jours</t>
  </si>
  <si>
    <t>Les valeurs de départ pré-remplies sont des ordres de grandeur observés dans de petites organisations n'ayant pas encore structuré leur sécurité. Elles sont à remplacer par vos propres mesures.</t>
  </si>
  <si>
    <t>4. TABLEAU DE BORD</t>
  </si>
  <si>
    <t>Page à projeter en comité de direction. Tout se calcule à partir des onglets 2 et 3.</t>
  </si>
  <si>
    <t>Date de lancement du plan</t>
  </si>
  <si>
    <t>Jour du plan</t>
  </si>
  <si>
    <t>sur 90 jours</t>
  </si>
  <si>
    <t>AVANCEMENT GLOBAL</t>
  </si>
  <si>
    <t>Avancement du plan</t>
  </si>
  <si>
    <t>Mesures réalisées</t>
  </si>
  <si>
    <t>Mesures en cours</t>
  </si>
  <si>
    <t>Mesures non démarrées</t>
  </si>
  <si>
    <t>Mesures en retard</t>
  </si>
  <si>
    <t>AVANCEMENT PAR VAGUE</t>
  </si>
  <si>
    <t>Période</t>
  </si>
  <si>
    <t>Vague 1 — Arrêter l'hémorragie</t>
  </si>
  <si>
    <t>Jours 1 à 30</t>
  </si>
  <si>
    <t>Vague 2 — Structurer</t>
  </si>
  <si>
    <t>Jours 31 à 60</t>
  </si>
  <si>
    <t>Vague 3 — Tenir dans la durée</t>
  </si>
  <si>
    <t>Jours 61 à 90</t>
  </si>
  <si>
    <t>SUIVI DES CINQ INDICATEURS</t>
  </si>
  <si>
    <t>Départ</t>
  </si>
  <si>
    <t>Actuel</t>
  </si>
  <si>
    <t>Cible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</si>
</sst>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Calibri"/>
      <family val="2"/>
      <charset val="1"/>
    </font>
    <font>
      <b/>
      <sz val="16"/>
      <color rgb="FF1E2761"/>
      <name val="Arial"/>
      <family val="2"/>
    </font>
    <font>
      <i/>
      <sz val="10"/>
      <color rgb="FF595959"/>
      <name val="Arial"/>
      <family val="2"/>
    </font>
    <font>
      <b/>
      <sz val="14"/>
      <color rgb="FF1E2761"/>
      <name val="Arial"/>
      <family val="2"/>
    </font>
    <font>
      <b/>
      <sz val="10"/>
      <name val="Arial"/>
      <family val="2"/>
    </font>
    <font>
      <sz val="10"/>
      <name val="Arial"/>
      <family val="2"/>
    </font>
    <font>
      <sz val="10"/>
      <color rgb="FF0000FF"/>
      <name val="Arial"/>
      <family val="2"/>
    </font>
    <font>
      <i/>
      <sz val="10"/>
      <color rgb="FF808080"/>
      <name val="Arial"/>
      <family val="2"/>
    </font>
    <font>
      <b/>
      <sz val="10"/>
      <color rgb="FFFFFFFF"/>
      <name val="Arial"/>
      <family val="2"/>
    </font>
    <font>
      <b/>
      <sz val="12"/>
      <color rgb="FF1E2761"/>
      <name val="Arial"/>
      <family val="2"/>
    </font>
  </fonts>
  <fills count="4">
    <fill>
      <patternFill patternType="none"/>
    </fill>
    <fill>
      <patternFill patternType="gray125"/>
    </fill>
    <fill>
      <patternFill patternType="solid">
        <fgColor rgb="FFFFFF00"/>
        <bgColor rgb="FFFFFF00"/>
      </patternFill>
    </fill>
    <fill>
      <patternFill patternType="solid">
        <fgColor rgb="FF1E2761"/>
        <bgColor rgb="FF333333"/>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6">
    <xf numFmtId="0" fontId="0" fillId="0" borderId="0" xfId="0"/>
    <xf numFmtId="0" fontId="2" fillId="0" borderId="0" xfId="0" applyFont="1"/>
    <xf numFmtId="0" fontId="5" fillId="0" borderId="0" xfId="0" applyFont="1" applyAlignment="1">
      <alignment vertical="top" wrapText="1"/>
    </xf>
    <xf numFmtId="0" fontId="2" fillId="0" borderId="0" xfId="0" applyFont="1" applyAlignment="1">
      <alignment vertical="top" wrapText="1"/>
    </xf>
    <xf numFmtId="0" fontId="5" fillId="0" borderId="0" xfId="0" applyFont="1"/>
    <xf numFmtId="0" fontId="4" fillId="0" borderId="0" xfId="0" applyFont="1"/>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applyAlignment="1">
      <alignment vertical="top" wrapText="1"/>
    </xf>
    <xf numFmtId="0" fontId="5" fillId="0" borderId="0" xfId="0" applyFont="1"/>
    <xf numFmtId="0" fontId="4" fillId="2" borderId="0" xfId="0" applyFont="1" applyFill="1"/>
    <xf numFmtId="0" fontId="6" fillId="0" borderId="0" xfId="0" applyFont="1"/>
    <xf numFmtId="0" fontId="7" fillId="0" borderId="0" xfId="0" applyFont="1"/>
    <xf numFmtId="0" fontId="8" fillId="3" borderId="1" xfId="0" applyFont="1" applyFill="1" applyBorder="1" applyAlignment="1">
      <alignment horizontal="center" vertical="center" wrapText="1"/>
    </xf>
    <xf numFmtId="0" fontId="7" fillId="0" borderId="1" xfId="0" applyFont="1" applyBorder="1" applyAlignment="1">
      <alignment vertical="top" wrapText="1"/>
    </xf>
    <xf numFmtId="0" fontId="7" fillId="0" borderId="1" xfId="0" applyFont="1" applyBorder="1" applyAlignment="1">
      <alignment horizontal="center" vertical="center" wrapText="1"/>
    </xf>
    <xf numFmtId="0" fontId="5" fillId="0" borderId="1" xfId="0" applyFont="1" applyBorder="1" applyAlignment="1">
      <alignment horizontal="center" vertical="center" wrapText="1"/>
    </xf>
    <xf numFmtId="0" fontId="4" fillId="0" borderId="1" xfId="0" applyFont="1" applyBorder="1" applyAlignment="1">
      <alignment horizontal="center" vertical="center" wrapText="1"/>
    </xf>
    <xf numFmtId="0" fontId="6" fillId="2" borderId="1" xfId="0" applyFont="1" applyFill="1" applyBorder="1" applyAlignment="1">
      <alignment vertical="top" wrapText="1"/>
    </xf>
    <xf numFmtId="0" fontId="6" fillId="2" borderId="1" xfId="0" applyFont="1" applyFill="1" applyBorder="1" applyAlignment="1">
      <alignment horizontal="center" vertical="center" wrapText="1"/>
    </xf>
    <xf numFmtId="0" fontId="5" fillId="0" borderId="1" xfId="0" applyFont="1" applyBorder="1" applyAlignment="1">
      <alignment vertical="top" wrapText="1"/>
    </xf>
    <xf numFmtId="164" fontId="5" fillId="0" borderId="1" xfId="0" applyNumberFormat="1" applyFont="1" applyBorder="1" applyAlignment="1">
      <alignment horizontal="center" vertical="center" wrapText="1"/>
    </xf>
    <xf numFmtId="14" fontId="5" fillId="0" borderId="1" xfId="0" applyNumberFormat="1" applyFont="1" applyBorder="1" applyAlignment="1">
      <alignment horizontal="center" vertical="center" wrapText="1"/>
    </xf>
    <xf numFmtId="9" fontId="5" fillId="0" borderId="1" xfId="0" applyNumberFormat="1" applyFont="1" applyBorder="1" applyAlignment="1">
      <alignment horizontal="center" vertical="center" wrapText="1"/>
    </xf>
    <xf numFmtId="0" fontId="4" fillId="0" borderId="0" xfId="0" applyFont="1" applyAlignment="1">
      <alignment horizontal="center"/>
    </xf>
    <xf numFmtId="0" fontId="4" fillId="0" borderId="1" xfId="0" applyFont="1" applyBorder="1" applyAlignment="1">
      <alignment vertical="top" wrapText="1"/>
    </xf>
    <xf numFmtId="9" fontId="6" fillId="2" borderId="1" xfId="0" applyNumberFormat="1" applyFont="1" applyFill="1" applyBorder="1" applyAlignment="1">
      <alignment horizontal="center" vertical="center" wrapText="1"/>
    </xf>
    <xf numFmtId="1" fontId="6" fillId="2" borderId="1" xfId="0" applyNumberFormat="1" applyFont="1" applyFill="1" applyBorder="1" applyAlignment="1">
      <alignment horizontal="center" vertical="center" wrapText="1"/>
    </xf>
    <xf numFmtId="1" fontId="5" fillId="0" borderId="1" xfId="0" applyNumberFormat="1" applyFont="1" applyBorder="1" applyAlignment="1">
      <alignment horizontal="center" vertical="center" wrapText="1"/>
    </xf>
    <xf numFmtId="14" fontId="6" fillId="2" borderId="1" xfId="0" applyNumberFormat="1" applyFont="1" applyFill="1" applyBorder="1" applyAlignment="1">
      <alignment horizontal="center" vertical="center" wrapText="1"/>
    </xf>
    <xf numFmtId="0" fontId="9" fillId="0" borderId="0" xfId="0" applyFont="1"/>
    <xf numFmtId="0" fontId="5" fillId="0" borderId="1" xfId="0" applyFont="1" applyBorder="1"/>
    <xf numFmtId="9" fontId="4" fillId="0" borderId="1" xfId="0" applyNumberFormat="1" applyFont="1" applyBorder="1" applyAlignment="1">
      <alignment horizontal="center" vertical="center" wrapText="1"/>
    </xf>
    <xf numFmtId="1" fontId="4" fillId="0" borderId="1"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F81BD"/>
      <rgbColor rgb="FF33CCCC"/>
      <rgbColor rgb="FF99CC00"/>
      <rgbColor rgb="FFFFCC00"/>
      <rgbColor rgb="FFFF9900"/>
      <rgbColor rgb="FFFF6600"/>
      <rgbColor rgb="FF595959"/>
      <rgbColor rgb="FF878787"/>
      <rgbColor rgb="FF1E2761"/>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lang="fr-FR" sz="1800" b="1" strike="noStrike" spc="-1">
                <a:solidFill>
                  <a:srgbClr val="000000"/>
                </a:solidFill>
                <a:latin typeface="Calibri"/>
              </a:rPr>
              <a:t>Avancement par vague</a:t>
            </a:r>
          </a:p>
        </c:rich>
      </c:tx>
      <c:overlay val="0"/>
      <c:spPr>
        <a:noFill/>
        <a:ln w="0">
          <a:noFill/>
        </a:ln>
      </c:spPr>
    </c:title>
    <c:autoTitleDeleted val="0"/>
    <c:plotArea>
      <c:layout/>
      <c:barChart>
        <c:barDir val="col"/>
        <c:grouping val="clustered"/>
        <c:varyColors val="0"/>
        <c:ser>
          <c:idx val="0"/>
          <c:order val="0"/>
          <c:tx>
            <c:strRef>
              <c:f>'4. Tableau de bord'!$D$16</c:f>
              <c:strCache>
                <c:ptCount val="1"/>
                <c:pt idx="0">
                  <c:v>Avancement</c:v>
                </c:pt>
              </c:strCache>
            </c:strRef>
          </c:tx>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fr-FR"/>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'4. Tableau de bord'!$B$17:$B$19</c:f>
              <c:strCache>
                <c:ptCount val="3"/>
                <c:pt idx="0">
                  <c:v>Vague 1 — Arrêter l'hémorragie</c:v>
                </c:pt>
                <c:pt idx="1">
                  <c:v>Vague 2 — Structurer</c:v>
                </c:pt>
                <c:pt idx="2">
                  <c:v>Vague 3 — Tenir dans la durée</c:v>
                </c:pt>
              </c:strCache>
            </c:strRef>
          </c:cat>
          <c:val>
            <c:numRef>
              <c:f>'4. Tableau de bord'!$D$17:$D$19</c:f>
              <c:numCache>
                <c:formatCode>0%</c:formatCode>
                <c:ptCount val="3"/>
                <c:pt idx="0">
                  <c:v>0</c:v>
                </c:pt>
                <c:pt idx="1">
                  <c:v>0</c:v>
                </c:pt>
                <c:pt idx="2">
                  <c:v>0</c:v>
                </c:pt>
              </c:numCache>
            </c:numRef>
          </c:val>
          <c:extLst>
            <c:ext xmlns:c16="http://schemas.microsoft.com/office/drawing/2014/chart" uri="{C3380CC4-5D6E-409C-BE32-E72D297353CC}">
              <c16:uniqueId val="{00000000-93C2-43FA-B92B-5D031B6BCC65}"/>
            </c:ext>
          </c:extLst>
        </c:ser>
        <c:dLbls>
          <c:showLegendKey val="0"/>
          <c:showVal val="0"/>
          <c:showCatName val="0"/>
          <c:showSerName val="0"/>
          <c:showPercent val="0"/>
          <c:showBubbleSize val="0"/>
        </c:dLbls>
        <c:gapWidth val="150"/>
        <c:axId val="14184638"/>
        <c:axId val="96438327"/>
      </c:barChart>
      <c:catAx>
        <c:axId val="14184638"/>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96438327"/>
        <c:crosses val="autoZero"/>
        <c:auto val="1"/>
        <c:lblAlgn val="ctr"/>
        <c:lblOffset val="100"/>
        <c:noMultiLvlLbl val="0"/>
      </c:catAx>
      <c:valAx>
        <c:axId val="96438327"/>
        <c:scaling>
          <c:orientation val="minMax"/>
          <c:max val="1"/>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14184638"/>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6</xdr:row>
      <xdr:rowOff>130680</xdr:rowOff>
    </xdr:from>
    <xdr:to>
      <xdr:col>12</xdr:col>
      <xdr:colOff>511200</xdr:colOff>
      <xdr:row>19</xdr:row>
      <xdr:rowOff>173520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26"/>
  <sheetViews>
    <sheetView showGridLines="0" tabSelected="1" topLeftCell="A6" zoomScaleNormal="100" workbookViewId="0"/>
  </sheetViews>
  <sheetFormatPr baseColWidth="10" defaultColWidth="8.6328125" defaultRowHeight="14.5" x14ac:dyDescent="0.35"/>
  <cols>
    <col min="1" max="1" width="3" customWidth="1"/>
    <col min="2" max="2" width="32" customWidth="1"/>
    <col min="3" max="3" width="95" customWidth="1"/>
  </cols>
  <sheetData>
    <row r="2" spans="2:3" ht="19.5" customHeight="1" x14ac:dyDescent="0.4">
      <c r="B2" s="6" t="s">
        <v>0</v>
      </c>
    </row>
    <row r="3" spans="2:3" ht="15" customHeight="1" x14ac:dyDescent="0.35">
      <c r="B3" s="7" t="s">
        <v>1</v>
      </c>
    </row>
    <row r="5" spans="2:3" ht="17.25" customHeight="1" x14ac:dyDescent="0.4">
      <c r="B5" s="8" t="s">
        <v>2</v>
      </c>
    </row>
    <row r="6" spans="2:3" ht="23.25" customHeight="1" x14ac:dyDescent="0.35">
      <c r="B6" s="9" t="s">
        <v>3</v>
      </c>
      <c r="C6" s="10" t="s">
        <v>4</v>
      </c>
    </row>
    <row r="7" spans="2:3" ht="15" customHeight="1" x14ac:dyDescent="0.35">
      <c r="B7" s="9" t="s">
        <v>5</v>
      </c>
      <c r="C7" s="11" t="s">
        <v>6</v>
      </c>
    </row>
    <row r="8" spans="2:3" ht="23.25" customHeight="1" x14ac:dyDescent="0.35">
      <c r="B8" s="9" t="s">
        <v>7</v>
      </c>
      <c r="C8" s="10" t="s">
        <v>8</v>
      </c>
    </row>
    <row r="10" spans="2:3" ht="17.25" customHeight="1" x14ac:dyDescent="0.4">
      <c r="B10" s="8" t="s">
        <v>9</v>
      </c>
    </row>
    <row r="11" spans="2:3" ht="30" customHeight="1" x14ac:dyDescent="0.35">
      <c r="B11" s="9" t="s">
        <v>10</v>
      </c>
      <c r="C11" s="10" t="s">
        <v>11</v>
      </c>
    </row>
    <row r="12" spans="2:3" ht="30" customHeight="1" x14ac:dyDescent="0.35">
      <c r="B12" s="9" t="s">
        <v>12</v>
      </c>
      <c r="C12" s="10" t="s">
        <v>13</v>
      </c>
    </row>
    <row r="13" spans="2:3" ht="30" customHeight="1" x14ac:dyDescent="0.35">
      <c r="B13" s="9" t="s">
        <v>14</v>
      </c>
      <c r="C13" s="10" t="s">
        <v>15</v>
      </c>
    </row>
    <row r="14" spans="2:3" ht="30" customHeight="1" x14ac:dyDescent="0.35">
      <c r="B14" s="9" t="s">
        <v>16</v>
      </c>
      <c r="C14" s="10" t="s">
        <v>17</v>
      </c>
    </row>
    <row r="17" spans="2:3" ht="17.25" customHeight="1" x14ac:dyDescent="0.4">
      <c r="B17" s="8" t="s">
        <v>18</v>
      </c>
    </row>
    <row r="18" spans="2:3" ht="15" customHeight="1" x14ac:dyDescent="0.35">
      <c r="B18" s="12" t="s">
        <v>19</v>
      </c>
      <c r="C18" s="11" t="s">
        <v>20</v>
      </c>
    </row>
    <row r="19" spans="2:3" ht="15" customHeight="1" x14ac:dyDescent="0.35">
      <c r="B19" s="13" t="s">
        <v>21</v>
      </c>
      <c r="C19" s="11" t="s">
        <v>22</v>
      </c>
    </row>
    <row r="20" spans="2:3" ht="15" customHeight="1" x14ac:dyDescent="0.35">
      <c r="B20" s="14" t="s">
        <v>23</v>
      </c>
      <c r="C20" s="11" t="s">
        <v>24</v>
      </c>
    </row>
    <row r="22" spans="2:3" ht="42" customHeight="1" x14ac:dyDescent="0.4">
      <c r="B22" s="8" t="s">
        <v>25</v>
      </c>
      <c r="C22" s="10" t="s">
        <v>26</v>
      </c>
    </row>
    <row r="23" spans="2:3" ht="27.75" customHeight="1" x14ac:dyDescent="0.35">
      <c r="C23" s="10" t="s">
        <v>27</v>
      </c>
    </row>
    <row r="24" spans="2:3" ht="42" customHeight="1" x14ac:dyDescent="0.35">
      <c r="C24" s="10" t="s">
        <v>28</v>
      </c>
    </row>
    <row r="26" spans="2:3" ht="27.75" customHeight="1" x14ac:dyDescent="0.35">
      <c r="B26" s="9" t="s">
        <v>29</v>
      </c>
      <c r="C26" s="10" t="s">
        <v>30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49"/>
  <sheetViews>
    <sheetView showGridLines="0" zoomScaleNormal="100" workbookViewId="0"/>
  </sheetViews>
  <sheetFormatPr baseColWidth="10" defaultColWidth="8.6328125" defaultRowHeight="14.5" x14ac:dyDescent="0.35"/>
  <cols>
    <col min="1" max="1" width="6" customWidth="1"/>
    <col min="2" max="2" width="26" customWidth="1"/>
    <col min="3" max="3" width="16" customWidth="1"/>
    <col min="4" max="4" width="32" customWidth="1"/>
    <col min="5" max="5" width="20" customWidth="1"/>
    <col min="6" max="6" width="18" customWidth="1"/>
    <col min="7" max="7" width="12" customWidth="1"/>
    <col min="8" max="8" width="14" customWidth="1"/>
    <col min="9" max="10" width="12" customWidth="1"/>
    <col min="11" max="11" width="11" customWidth="1"/>
    <col min="12" max="12" width="15" customWidth="1"/>
  </cols>
  <sheetData>
    <row r="1" spans="1:12" ht="17.25" customHeight="1" x14ac:dyDescent="0.4">
      <c r="A1" s="8" t="s">
        <v>31</v>
      </c>
    </row>
    <row r="2" spans="1:12" ht="15" customHeight="1" x14ac:dyDescent="0.35">
      <c r="A2" s="7" t="s">
        <v>32</v>
      </c>
    </row>
    <row r="4" spans="1:12" ht="42" customHeight="1" x14ac:dyDescent="0.35">
      <c r="A4" s="15" t="s">
        <v>33</v>
      </c>
      <c r="B4" s="15" t="s">
        <v>34</v>
      </c>
      <c r="C4" s="15" t="s">
        <v>35</v>
      </c>
      <c r="D4" s="15" t="s">
        <v>36</v>
      </c>
      <c r="E4" s="15" t="s">
        <v>37</v>
      </c>
      <c r="F4" s="15" t="s">
        <v>38</v>
      </c>
      <c r="G4" s="15" t="s">
        <v>39</v>
      </c>
      <c r="H4" s="15" t="s">
        <v>40</v>
      </c>
      <c r="I4" s="15" t="s">
        <v>41</v>
      </c>
      <c r="J4" s="15" t="s">
        <v>42</v>
      </c>
      <c r="K4" s="15" t="s">
        <v>43</v>
      </c>
      <c r="L4" s="15" t="s">
        <v>44</v>
      </c>
    </row>
    <row r="5" spans="1:12" ht="23.25" customHeight="1" x14ac:dyDescent="0.35">
      <c r="A5" s="16" t="s">
        <v>45</v>
      </c>
      <c r="B5" s="16" t="s">
        <v>46</v>
      </c>
      <c r="C5" s="16" t="s">
        <v>47</v>
      </c>
      <c r="D5" s="16" t="s">
        <v>48</v>
      </c>
      <c r="E5" s="16" t="s">
        <v>49</v>
      </c>
      <c r="F5" s="16" t="s">
        <v>50</v>
      </c>
      <c r="G5" s="17" t="s">
        <v>51</v>
      </c>
      <c r="H5" s="17" t="s">
        <v>52</v>
      </c>
      <c r="I5" s="17">
        <v>4</v>
      </c>
      <c r="J5" s="17">
        <v>4</v>
      </c>
      <c r="K5" s="18">
        <f t="shared" ref="K5:K34" si="0">IF(COUNT(I5:J5)=0,"",MIN(4,MAX(I5:J5)+IF(G5="Oui",1,0)))</f>
        <v>4</v>
      </c>
      <c r="L5" s="19" t="str">
        <f t="shared" ref="L5:L34" si="1">IF(K5="","",IF(K5&gt;=4,"Critique",IF(K5=3,"Élevée",IF(K5=2,"Moyenne","Faible"))))</f>
        <v>Critique</v>
      </c>
    </row>
    <row r="6" spans="1:12" ht="23.25" customHeight="1" x14ac:dyDescent="0.35">
      <c r="A6" s="16" t="s">
        <v>53</v>
      </c>
      <c r="B6" s="16" t="s">
        <v>54</v>
      </c>
      <c r="C6" s="16" t="s">
        <v>55</v>
      </c>
      <c r="D6" s="16" t="s">
        <v>56</v>
      </c>
      <c r="E6" s="16" t="s">
        <v>57</v>
      </c>
      <c r="F6" s="16" t="s">
        <v>58</v>
      </c>
      <c r="G6" s="17" t="s">
        <v>52</v>
      </c>
      <c r="H6" s="17" t="s">
        <v>52</v>
      </c>
      <c r="I6" s="17">
        <v>4</v>
      </c>
      <c r="J6" s="17">
        <v>4</v>
      </c>
      <c r="K6" s="18">
        <f t="shared" si="0"/>
        <v>4</v>
      </c>
      <c r="L6" s="19" t="str">
        <f t="shared" si="1"/>
        <v>Critique</v>
      </c>
    </row>
    <row r="7" spans="1:12" ht="23.25" customHeight="1" x14ac:dyDescent="0.35">
      <c r="A7" s="16" t="s">
        <v>59</v>
      </c>
      <c r="B7" s="16" t="s">
        <v>60</v>
      </c>
      <c r="C7" s="16" t="s">
        <v>61</v>
      </c>
      <c r="D7" s="16" t="s">
        <v>62</v>
      </c>
      <c r="E7" s="16" t="s">
        <v>63</v>
      </c>
      <c r="F7" s="16" t="s">
        <v>64</v>
      </c>
      <c r="G7" s="17" t="s">
        <v>52</v>
      </c>
      <c r="H7" s="17" t="s">
        <v>52</v>
      </c>
      <c r="I7" s="17">
        <v>4</v>
      </c>
      <c r="J7" s="17">
        <v>3</v>
      </c>
      <c r="K7" s="18">
        <f t="shared" si="0"/>
        <v>4</v>
      </c>
      <c r="L7" s="19" t="str">
        <f t="shared" si="1"/>
        <v>Critique</v>
      </c>
    </row>
    <row r="8" spans="1:12" ht="15" customHeight="1" x14ac:dyDescent="0.35">
      <c r="A8" s="20"/>
      <c r="B8" s="20"/>
      <c r="C8" s="20"/>
      <c r="D8" s="20"/>
      <c r="E8" s="20"/>
      <c r="F8" s="20"/>
      <c r="G8" s="21"/>
      <c r="H8" s="21"/>
      <c r="I8" s="21"/>
      <c r="J8" s="21"/>
      <c r="K8" s="18" t="str">
        <f t="shared" si="0"/>
        <v/>
      </c>
      <c r="L8" s="19" t="str">
        <f t="shared" si="1"/>
        <v/>
      </c>
    </row>
    <row r="9" spans="1:12" ht="15" customHeight="1" x14ac:dyDescent="0.35">
      <c r="A9" s="20"/>
      <c r="B9" s="20"/>
      <c r="C9" s="20"/>
      <c r="D9" s="20"/>
      <c r="E9" s="20"/>
      <c r="F9" s="20"/>
      <c r="G9" s="21"/>
      <c r="H9" s="21"/>
      <c r="I9" s="21"/>
      <c r="J9" s="21"/>
      <c r="K9" s="18" t="str">
        <f t="shared" si="0"/>
        <v/>
      </c>
      <c r="L9" s="19" t="str">
        <f t="shared" si="1"/>
        <v/>
      </c>
    </row>
    <row r="10" spans="1:12" ht="15" customHeight="1" x14ac:dyDescent="0.35">
      <c r="A10" s="20"/>
      <c r="B10" s="20"/>
      <c r="C10" s="20"/>
      <c r="D10" s="20"/>
      <c r="E10" s="20"/>
      <c r="F10" s="20"/>
      <c r="G10" s="21"/>
      <c r="H10" s="21"/>
      <c r="I10" s="21"/>
      <c r="J10" s="21"/>
      <c r="K10" s="18" t="str">
        <f t="shared" si="0"/>
        <v/>
      </c>
      <c r="L10" s="19" t="str">
        <f t="shared" si="1"/>
        <v/>
      </c>
    </row>
    <row r="11" spans="1:12" ht="15" customHeight="1" x14ac:dyDescent="0.35">
      <c r="A11" s="20"/>
      <c r="B11" s="20"/>
      <c r="C11" s="20"/>
      <c r="D11" s="20"/>
      <c r="E11" s="20"/>
      <c r="F11" s="20"/>
      <c r="G11" s="21"/>
      <c r="H11" s="21"/>
      <c r="I11" s="21"/>
      <c r="J11" s="21"/>
      <c r="K11" s="18" t="str">
        <f t="shared" si="0"/>
        <v/>
      </c>
      <c r="L11" s="19" t="str">
        <f t="shared" si="1"/>
        <v/>
      </c>
    </row>
    <row r="12" spans="1:12" ht="15" customHeight="1" x14ac:dyDescent="0.35">
      <c r="A12" s="20"/>
      <c r="B12" s="20"/>
      <c r="C12" s="20"/>
      <c r="D12" s="20"/>
      <c r="E12" s="20"/>
      <c r="F12" s="20"/>
      <c r="G12" s="21"/>
      <c r="H12" s="21"/>
      <c r="I12" s="21"/>
      <c r="J12" s="21"/>
      <c r="K12" s="18" t="str">
        <f t="shared" si="0"/>
        <v/>
      </c>
      <c r="L12" s="19" t="str">
        <f t="shared" si="1"/>
        <v/>
      </c>
    </row>
    <row r="13" spans="1:12" ht="15" customHeight="1" x14ac:dyDescent="0.35">
      <c r="A13" s="20"/>
      <c r="B13" s="20"/>
      <c r="C13" s="20"/>
      <c r="D13" s="20"/>
      <c r="E13" s="20"/>
      <c r="F13" s="20"/>
      <c r="G13" s="21"/>
      <c r="H13" s="21"/>
      <c r="I13" s="21"/>
      <c r="J13" s="21"/>
      <c r="K13" s="18" t="str">
        <f t="shared" si="0"/>
        <v/>
      </c>
      <c r="L13" s="19" t="str">
        <f t="shared" si="1"/>
        <v/>
      </c>
    </row>
    <row r="14" spans="1:12" ht="15" customHeight="1" x14ac:dyDescent="0.35">
      <c r="A14" s="20"/>
      <c r="B14" s="20"/>
      <c r="C14" s="20"/>
      <c r="D14" s="20"/>
      <c r="E14" s="20"/>
      <c r="F14" s="20"/>
      <c r="G14" s="21"/>
      <c r="H14" s="21"/>
      <c r="I14" s="21"/>
      <c r="J14" s="21"/>
      <c r="K14" s="18" t="str">
        <f t="shared" si="0"/>
        <v/>
      </c>
      <c r="L14" s="19" t="str">
        <f t="shared" si="1"/>
        <v/>
      </c>
    </row>
    <row r="15" spans="1:12" ht="15" customHeight="1" x14ac:dyDescent="0.35">
      <c r="A15" s="20"/>
      <c r="B15" s="20"/>
      <c r="C15" s="20"/>
      <c r="D15" s="20"/>
      <c r="E15" s="20"/>
      <c r="F15" s="20"/>
      <c r="G15" s="21"/>
      <c r="H15" s="21"/>
      <c r="I15" s="21"/>
      <c r="J15" s="21"/>
      <c r="K15" s="18" t="str">
        <f t="shared" si="0"/>
        <v/>
      </c>
      <c r="L15" s="19" t="str">
        <f t="shared" si="1"/>
        <v/>
      </c>
    </row>
    <row r="16" spans="1:12" ht="15" customHeight="1" x14ac:dyDescent="0.35">
      <c r="A16" s="20"/>
      <c r="B16" s="20"/>
      <c r="C16" s="20"/>
      <c r="D16" s="20"/>
      <c r="E16" s="20"/>
      <c r="F16" s="20"/>
      <c r="G16" s="21"/>
      <c r="H16" s="21"/>
      <c r="I16" s="21"/>
      <c r="J16" s="21"/>
      <c r="K16" s="18" t="str">
        <f t="shared" si="0"/>
        <v/>
      </c>
      <c r="L16" s="19" t="str">
        <f t="shared" si="1"/>
        <v/>
      </c>
    </row>
    <row r="17" spans="1:12" ht="15" customHeight="1" x14ac:dyDescent="0.35">
      <c r="A17" s="20"/>
      <c r="B17" s="20"/>
      <c r="C17" s="20"/>
      <c r="D17" s="20"/>
      <c r="E17" s="20"/>
      <c r="F17" s="20"/>
      <c r="G17" s="21"/>
      <c r="H17" s="21"/>
      <c r="I17" s="21"/>
      <c r="J17" s="21"/>
      <c r="K17" s="18" t="str">
        <f t="shared" si="0"/>
        <v/>
      </c>
      <c r="L17" s="19" t="str">
        <f t="shared" si="1"/>
        <v/>
      </c>
    </row>
    <row r="18" spans="1:12" ht="15" customHeight="1" x14ac:dyDescent="0.35">
      <c r="A18" s="20"/>
      <c r="B18" s="20"/>
      <c r="C18" s="20"/>
      <c r="D18" s="20"/>
      <c r="E18" s="20"/>
      <c r="F18" s="20"/>
      <c r="G18" s="21"/>
      <c r="H18" s="21"/>
      <c r="I18" s="21"/>
      <c r="J18" s="21"/>
      <c r="K18" s="18" t="str">
        <f t="shared" si="0"/>
        <v/>
      </c>
      <c r="L18" s="19" t="str">
        <f t="shared" si="1"/>
        <v/>
      </c>
    </row>
    <row r="19" spans="1:12" ht="15" customHeight="1" x14ac:dyDescent="0.35">
      <c r="A19" s="20"/>
      <c r="B19" s="20"/>
      <c r="C19" s="20"/>
      <c r="D19" s="20"/>
      <c r="E19" s="20"/>
      <c r="F19" s="20"/>
      <c r="G19" s="21"/>
      <c r="H19" s="21"/>
      <c r="I19" s="21"/>
      <c r="J19" s="21"/>
      <c r="K19" s="18" t="str">
        <f t="shared" si="0"/>
        <v/>
      </c>
      <c r="L19" s="19" t="str">
        <f t="shared" si="1"/>
        <v/>
      </c>
    </row>
    <row r="20" spans="1:12" ht="15" customHeight="1" x14ac:dyDescent="0.35">
      <c r="A20" s="20"/>
      <c r="B20" s="20"/>
      <c r="C20" s="20"/>
      <c r="D20" s="20"/>
      <c r="E20" s="20"/>
      <c r="F20" s="20"/>
      <c r="G20" s="21"/>
      <c r="H20" s="21"/>
      <c r="I20" s="21"/>
      <c r="J20" s="21"/>
      <c r="K20" s="18" t="str">
        <f t="shared" si="0"/>
        <v/>
      </c>
      <c r="L20" s="19" t="str">
        <f t="shared" si="1"/>
        <v/>
      </c>
    </row>
    <row r="21" spans="1:12" ht="15" customHeight="1" x14ac:dyDescent="0.35">
      <c r="A21" s="20"/>
      <c r="B21" s="20"/>
      <c r="C21" s="20"/>
      <c r="D21" s="20"/>
      <c r="E21" s="20"/>
      <c r="F21" s="20"/>
      <c r="G21" s="21"/>
      <c r="H21" s="21"/>
      <c r="I21" s="21"/>
      <c r="J21" s="21"/>
      <c r="K21" s="18" t="str">
        <f t="shared" si="0"/>
        <v/>
      </c>
      <c r="L21" s="19" t="str">
        <f t="shared" si="1"/>
        <v/>
      </c>
    </row>
    <row r="22" spans="1:12" ht="15" customHeight="1" x14ac:dyDescent="0.35">
      <c r="A22" s="20"/>
      <c r="B22" s="20"/>
      <c r="C22" s="20"/>
      <c r="D22" s="20"/>
      <c r="E22" s="20"/>
      <c r="F22" s="20"/>
      <c r="G22" s="21"/>
      <c r="H22" s="21"/>
      <c r="I22" s="21"/>
      <c r="J22" s="21"/>
      <c r="K22" s="18" t="str">
        <f t="shared" si="0"/>
        <v/>
      </c>
      <c r="L22" s="19" t="str">
        <f t="shared" si="1"/>
        <v/>
      </c>
    </row>
    <row r="23" spans="1:12" ht="15" customHeight="1" x14ac:dyDescent="0.35">
      <c r="A23" s="20"/>
      <c r="B23" s="20"/>
      <c r="C23" s="20"/>
      <c r="D23" s="20"/>
      <c r="E23" s="20"/>
      <c r="F23" s="20"/>
      <c r="G23" s="21"/>
      <c r="H23" s="21"/>
      <c r="I23" s="21"/>
      <c r="J23" s="21"/>
      <c r="K23" s="18" t="str">
        <f t="shared" si="0"/>
        <v/>
      </c>
      <c r="L23" s="19" t="str">
        <f t="shared" si="1"/>
        <v/>
      </c>
    </row>
    <row r="24" spans="1:12" ht="15" customHeight="1" x14ac:dyDescent="0.35">
      <c r="A24" s="20"/>
      <c r="B24" s="20"/>
      <c r="C24" s="20"/>
      <c r="D24" s="20"/>
      <c r="E24" s="20"/>
      <c r="F24" s="20"/>
      <c r="G24" s="21"/>
      <c r="H24" s="21"/>
      <c r="I24" s="21"/>
      <c r="J24" s="21"/>
      <c r="K24" s="18" t="str">
        <f t="shared" si="0"/>
        <v/>
      </c>
      <c r="L24" s="19" t="str">
        <f t="shared" si="1"/>
        <v/>
      </c>
    </row>
    <row r="25" spans="1:12" ht="15" customHeight="1" x14ac:dyDescent="0.35">
      <c r="A25" s="20"/>
      <c r="B25" s="20"/>
      <c r="C25" s="20"/>
      <c r="D25" s="20"/>
      <c r="E25" s="20"/>
      <c r="F25" s="20"/>
      <c r="G25" s="21"/>
      <c r="H25" s="21"/>
      <c r="I25" s="21"/>
      <c r="J25" s="21"/>
      <c r="K25" s="18" t="str">
        <f t="shared" si="0"/>
        <v/>
      </c>
      <c r="L25" s="19" t="str">
        <f t="shared" si="1"/>
        <v/>
      </c>
    </row>
    <row r="26" spans="1:12" ht="15" customHeight="1" x14ac:dyDescent="0.35">
      <c r="A26" s="20"/>
      <c r="B26" s="20"/>
      <c r="C26" s="20"/>
      <c r="D26" s="20"/>
      <c r="E26" s="20"/>
      <c r="F26" s="20"/>
      <c r="G26" s="21"/>
      <c r="H26" s="21"/>
      <c r="I26" s="21"/>
      <c r="J26" s="21"/>
      <c r="K26" s="18" t="str">
        <f t="shared" si="0"/>
        <v/>
      </c>
      <c r="L26" s="19" t="str">
        <f t="shared" si="1"/>
        <v/>
      </c>
    </row>
    <row r="27" spans="1:12" ht="15" customHeight="1" x14ac:dyDescent="0.35">
      <c r="A27" s="20"/>
      <c r="B27" s="20"/>
      <c r="C27" s="20"/>
      <c r="D27" s="20"/>
      <c r="E27" s="20"/>
      <c r="F27" s="20"/>
      <c r="G27" s="21"/>
      <c r="H27" s="21"/>
      <c r="I27" s="21"/>
      <c r="J27" s="21"/>
      <c r="K27" s="18" t="str">
        <f t="shared" si="0"/>
        <v/>
      </c>
      <c r="L27" s="19" t="str">
        <f t="shared" si="1"/>
        <v/>
      </c>
    </row>
    <row r="28" spans="1:12" ht="15" customHeight="1" x14ac:dyDescent="0.35">
      <c r="A28" s="20"/>
      <c r="B28" s="20"/>
      <c r="C28" s="20"/>
      <c r="D28" s="20"/>
      <c r="E28" s="20"/>
      <c r="F28" s="20"/>
      <c r="G28" s="21"/>
      <c r="H28" s="21"/>
      <c r="I28" s="21"/>
      <c r="J28" s="21"/>
      <c r="K28" s="18" t="str">
        <f t="shared" si="0"/>
        <v/>
      </c>
      <c r="L28" s="19" t="str">
        <f t="shared" si="1"/>
        <v/>
      </c>
    </row>
    <row r="29" spans="1:12" ht="15" customHeight="1" x14ac:dyDescent="0.35">
      <c r="A29" s="20"/>
      <c r="B29" s="20"/>
      <c r="C29" s="20"/>
      <c r="D29" s="20"/>
      <c r="E29" s="20"/>
      <c r="F29" s="20"/>
      <c r="G29" s="21"/>
      <c r="H29" s="21"/>
      <c r="I29" s="21"/>
      <c r="J29" s="21"/>
      <c r="K29" s="18" t="str">
        <f t="shared" si="0"/>
        <v/>
      </c>
      <c r="L29" s="19" t="str">
        <f t="shared" si="1"/>
        <v/>
      </c>
    </row>
    <row r="30" spans="1:12" ht="15" customHeight="1" x14ac:dyDescent="0.35">
      <c r="A30" s="20"/>
      <c r="B30" s="20"/>
      <c r="C30" s="20"/>
      <c r="D30" s="20"/>
      <c r="E30" s="20"/>
      <c r="F30" s="20"/>
      <c r="G30" s="21"/>
      <c r="H30" s="21"/>
      <c r="I30" s="21"/>
      <c r="J30" s="21"/>
      <c r="K30" s="18" t="str">
        <f t="shared" si="0"/>
        <v/>
      </c>
      <c r="L30" s="19" t="str">
        <f t="shared" si="1"/>
        <v/>
      </c>
    </row>
    <row r="31" spans="1:12" ht="15" customHeight="1" x14ac:dyDescent="0.35">
      <c r="A31" s="20"/>
      <c r="B31" s="20"/>
      <c r="C31" s="20"/>
      <c r="D31" s="20"/>
      <c r="E31" s="20"/>
      <c r="F31" s="20"/>
      <c r="G31" s="21"/>
      <c r="H31" s="21"/>
      <c r="I31" s="21"/>
      <c r="J31" s="21"/>
      <c r="K31" s="18" t="str">
        <f t="shared" si="0"/>
        <v/>
      </c>
      <c r="L31" s="19" t="str">
        <f t="shared" si="1"/>
        <v/>
      </c>
    </row>
    <row r="32" spans="1:12" ht="15" customHeight="1" x14ac:dyDescent="0.35">
      <c r="A32" s="20"/>
      <c r="B32" s="20"/>
      <c r="C32" s="20"/>
      <c r="D32" s="20"/>
      <c r="E32" s="20"/>
      <c r="F32" s="20"/>
      <c r="G32" s="21"/>
      <c r="H32" s="21"/>
      <c r="I32" s="21"/>
      <c r="J32" s="21"/>
      <c r="K32" s="18" t="str">
        <f t="shared" si="0"/>
        <v/>
      </c>
      <c r="L32" s="19" t="str">
        <f t="shared" si="1"/>
        <v/>
      </c>
    </row>
    <row r="33" spans="1:12" ht="15" customHeight="1" x14ac:dyDescent="0.35">
      <c r="A33" s="20"/>
      <c r="B33" s="20"/>
      <c r="C33" s="20"/>
      <c r="D33" s="20"/>
      <c r="E33" s="20"/>
      <c r="F33" s="20"/>
      <c r="G33" s="21"/>
      <c r="H33" s="21"/>
      <c r="I33" s="21"/>
      <c r="J33" s="21"/>
      <c r="K33" s="18" t="str">
        <f t="shared" si="0"/>
        <v/>
      </c>
      <c r="L33" s="19" t="str">
        <f t="shared" si="1"/>
        <v/>
      </c>
    </row>
    <row r="34" spans="1:12" ht="15" customHeight="1" x14ac:dyDescent="0.35">
      <c r="A34" s="20"/>
      <c r="B34" s="20"/>
      <c r="C34" s="20"/>
      <c r="D34" s="20"/>
      <c r="E34" s="20"/>
      <c r="F34" s="20"/>
      <c r="G34" s="21"/>
      <c r="H34" s="21"/>
      <c r="I34" s="21"/>
      <c r="J34" s="21"/>
      <c r="K34" s="18" t="str">
        <f t="shared" si="0"/>
        <v/>
      </c>
      <c r="L34" s="19" t="str">
        <f t="shared" si="1"/>
        <v/>
      </c>
    </row>
    <row r="36" spans="1:12" ht="15" customHeight="1" x14ac:dyDescent="0.35">
      <c r="A36" s="9" t="s">
        <v>65</v>
      </c>
    </row>
    <row r="37" spans="1:12" ht="15" customHeight="1" x14ac:dyDescent="0.35">
      <c r="A37" s="5" t="s">
        <v>66</v>
      </c>
      <c r="B37" s="5"/>
      <c r="C37" s="4" t="s">
        <v>67</v>
      </c>
      <c r="D37" s="4"/>
      <c r="E37" s="4"/>
      <c r="F37" s="4"/>
    </row>
    <row r="38" spans="1:12" ht="15" customHeight="1" x14ac:dyDescent="0.35">
      <c r="A38" s="5" t="s">
        <v>68</v>
      </c>
      <c r="B38" s="5"/>
      <c r="C38" s="4" t="s">
        <v>69</v>
      </c>
      <c r="D38" s="4"/>
      <c r="E38" s="4"/>
      <c r="F38" s="4"/>
    </row>
    <row r="39" spans="1:12" ht="15" customHeight="1" x14ac:dyDescent="0.35">
      <c r="A39" s="5" t="s">
        <v>70</v>
      </c>
      <c r="B39" s="5"/>
      <c r="C39" s="4" t="s">
        <v>71</v>
      </c>
      <c r="D39" s="4"/>
      <c r="E39" s="4"/>
      <c r="F39" s="4"/>
    </row>
    <row r="40" spans="1:12" ht="15" customHeight="1" x14ac:dyDescent="0.35">
      <c r="A40" s="5" t="s">
        <v>72</v>
      </c>
      <c r="B40" s="5"/>
      <c r="C40" s="4" t="s">
        <v>73</v>
      </c>
      <c r="D40" s="4"/>
      <c r="E40" s="4"/>
      <c r="F40" s="4"/>
    </row>
    <row r="42" spans="1:12" x14ac:dyDescent="0.35">
      <c r="A42" s="5" t="s">
        <v>74</v>
      </c>
      <c r="B42" s="5"/>
      <c r="C42" s="5"/>
      <c r="D42" s="5"/>
    </row>
    <row r="43" spans="1:12" x14ac:dyDescent="0.35">
      <c r="A43" s="5" t="s">
        <v>75</v>
      </c>
      <c r="B43" s="5"/>
      <c r="C43" s="4" t="s">
        <v>76</v>
      </c>
      <c r="D43" s="4"/>
      <c r="E43" s="4"/>
      <c r="F43" s="4"/>
    </row>
    <row r="44" spans="1:12" x14ac:dyDescent="0.35">
      <c r="A44" s="5" t="s">
        <v>77</v>
      </c>
      <c r="B44" s="5"/>
      <c r="C44" s="4" t="s">
        <v>78</v>
      </c>
      <c r="D44" s="4"/>
      <c r="E44" s="4"/>
      <c r="F44" s="4"/>
    </row>
    <row r="45" spans="1:12" x14ac:dyDescent="0.35">
      <c r="A45" s="5" t="s">
        <v>79</v>
      </c>
      <c r="B45" s="5"/>
      <c r="C45" s="4" t="s">
        <v>80</v>
      </c>
      <c r="D45" s="4"/>
      <c r="E45" s="4"/>
      <c r="F45" s="4"/>
    </row>
    <row r="46" spans="1:12" x14ac:dyDescent="0.35">
      <c r="A46" s="5" t="s">
        <v>81</v>
      </c>
      <c r="B46" s="5"/>
      <c r="C46" s="4" t="s">
        <v>82</v>
      </c>
      <c r="D46" s="4"/>
      <c r="E46" s="4"/>
      <c r="F46" s="4"/>
    </row>
    <row r="48" spans="1:12" ht="15" customHeight="1" x14ac:dyDescent="0.35">
      <c r="A48" s="3" t="s">
        <v>83</v>
      </c>
      <c r="B48" s="3"/>
      <c r="C48" s="3"/>
      <c r="D48" s="3"/>
      <c r="E48" s="3"/>
      <c r="F48" s="3"/>
      <c r="G48" s="3"/>
      <c r="H48" s="3"/>
      <c r="I48" s="3"/>
      <c r="J48" s="3"/>
      <c r="K48" s="3"/>
      <c r="L48" s="3"/>
    </row>
    <row r="49" spans="1:12" x14ac:dyDescent="0.35">
      <c r="A49" s="3"/>
      <c r="B49" s="3"/>
      <c r="C49" s="3"/>
      <c r="D49" s="3"/>
      <c r="E49" s="3"/>
      <c r="F49" s="3"/>
      <c r="G49" s="3"/>
      <c r="H49" s="3"/>
      <c r="I49" s="3"/>
      <c r="J49" s="3"/>
      <c r="K49" s="3"/>
      <c r="L49" s="3"/>
    </row>
  </sheetData>
  <mergeCells count="18">
    <mergeCell ref="A48:L49"/>
    <mergeCell ref="A44:B44"/>
    <mergeCell ref="C44:F44"/>
    <mergeCell ref="A45:B45"/>
    <mergeCell ref="C45:F45"/>
    <mergeCell ref="A46:B46"/>
    <mergeCell ref="C46:F46"/>
    <mergeCell ref="A40:B40"/>
    <mergeCell ref="C40:F40"/>
    <mergeCell ref="A42:D42"/>
    <mergeCell ref="A43:B43"/>
    <mergeCell ref="C43:F43"/>
    <mergeCell ref="A37:B37"/>
    <mergeCell ref="C37:F37"/>
    <mergeCell ref="A38:B38"/>
    <mergeCell ref="C38:F38"/>
    <mergeCell ref="A39:B39"/>
    <mergeCell ref="C39:F39"/>
  </mergeCells>
  <dataValidations count="3">
    <dataValidation type="list" allowBlank="1" sqref="C5:C34" xr:uid="{00000000-0002-0000-0100-000000000000}">
      <formula1>"Donnée,Compte,Service,Équipement,Fournisseur"</formula1>
      <formula2>0</formula2>
    </dataValidation>
    <dataValidation type="list" allowBlank="1" sqref="G5:H34" xr:uid="{00000000-0002-0000-0100-000001000000}">
      <formula1>"Oui,Non"</formula1>
      <formula2>0</formula2>
    </dataValidation>
    <dataValidation type="list" allowBlank="1" sqref="I5:J34" xr:uid="{00000000-0002-0000-0100-000002000000}">
      <formula1>"1,2,3,4"</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44"/>
  <sheetViews>
    <sheetView showGridLines="0" zoomScaleNormal="100" workbookViewId="0">
      <selection activeCell="G8" sqref="G8"/>
    </sheetView>
  </sheetViews>
  <sheetFormatPr baseColWidth="10" defaultColWidth="8.6328125" defaultRowHeight="14.5" x14ac:dyDescent="0.35"/>
  <cols>
    <col min="1" max="1" width="5" customWidth="1"/>
    <col min="2" max="2" width="11" customWidth="1"/>
    <col min="3" max="3" width="46" customWidth="1"/>
    <col min="4" max="4" width="38" customWidth="1"/>
    <col min="5" max="5" width="9" customWidth="1"/>
    <col min="6" max="6" width="11" customWidth="1"/>
    <col min="7" max="7" width="10" customWidth="1"/>
    <col min="8" max="8" width="18" customWidth="1"/>
    <col min="9" max="9" width="12" customWidth="1"/>
    <col min="10" max="10" width="15" customWidth="1"/>
    <col min="11" max="11" width="11" customWidth="1"/>
  </cols>
  <sheetData>
    <row r="1" spans="1:11" ht="17.25" customHeight="1" x14ac:dyDescent="0.4">
      <c r="A1" s="8" t="s">
        <v>84</v>
      </c>
    </row>
    <row r="2" spans="1:11" ht="15" customHeight="1" x14ac:dyDescent="0.35">
      <c r="A2" s="7" t="s">
        <v>85</v>
      </c>
    </row>
    <row r="4" spans="1:11" ht="42" customHeight="1" x14ac:dyDescent="0.35">
      <c r="A4" s="15" t="s">
        <v>86</v>
      </c>
      <c r="B4" s="15" t="s">
        <v>87</v>
      </c>
      <c r="C4" s="15" t="s">
        <v>88</v>
      </c>
      <c r="D4" s="15" t="s">
        <v>89</v>
      </c>
      <c r="E4" s="15" t="s">
        <v>90</v>
      </c>
      <c r="F4" s="15" t="s">
        <v>91</v>
      </c>
      <c r="G4" s="15" t="s">
        <v>92</v>
      </c>
      <c r="H4" s="15" t="s">
        <v>93</v>
      </c>
      <c r="I4" s="15" t="s">
        <v>94</v>
      </c>
      <c r="J4" s="15" t="s">
        <v>95</v>
      </c>
      <c r="K4" s="15" t="s">
        <v>96</v>
      </c>
    </row>
    <row r="5" spans="1:11" ht="30" customHeight="1" x14ac:dyDescent="0.35">
      <c r="A5" s="18">
        <v>1</v>
      </c>
      <c r="B5" s="19" t="s">
        <v>97</v>
      </c>
      <c r="C5" s="22" t="s">
        <v>98</v>
      </c>
      <c r="D5" s="22" t="s">
        <v>99</v>
      </c>
      <c r="E5" s="18">
        <v>2</v>
      </c>
      <c r="F5" s="18">
        <v>3</v>
      </c>
      <c r="G5" s="23">
        <f t="shared" ref="G5:G25" si="0">IFERROR(F5/E5,"")</f>
        <v>1.5</v>
      </c>
      <c r="H5" s="21"/>
      <c r="I5" s="24">
        <f>'4. Tableau de bord'!$C$5+30*1</f>
        <v>46325</v>
      </c>
      <c r="J5" s="21" t="s">
        <v>100</v>
      </c>
      <c r="K5" s="25">
        <f t="shared" ref="K5:K25" si="1">IF(J5="Non applicable","",IF(J5="Fait",1,IF(J5="En cours",0.5,0)))</f>
        <v>0</v>
      </c>
    </row>
    <row r="6" spans="1:11" ht="30" customHeight="1" x14ac:dyDescent="0.35">
      <c r="A6" s="18">
        <v>2</v>
      </c>
      <c r="B6" s="19" t="s">
        <v>97</v>
      </c>
      <c r="C6" s="22" t="s">
        <v>101</v>
      </c>
      <c r="D6" s="22" t="s">
        <v>102</v>
      </c>
      <c r="E6" s="18">
        <v>1</v>
      </c>
      <c r="F6" s="18">
        <v>3</v>
      </c>
      <c r="G6" s="23">
        <f t="shared" si="0"/>
        <v>3</v>
      </c>
      <c r="H6" s="21"/>
      <c r="I6" s="24">
        <f>'4. Tableau de bord'!$C$5+30*1</f>
        <v>46325</v>
      </c>
      <c r="J6" s="21" t="s">
        <v>100</v>
      </c>
      <c r="K6" s="25">
        <f t="shared" si="1"/>
        <v>0</v>
      </c>
    </row>
    <row r="7" spans="1:11" ht="30" customHeight="1" x14ac:dyDescent="0.35">
      <c r="A7" s="18">
        <v>3</v>
      </c>
      <c r="B7" s="19" t="s">
        <v>97</v>
      </c>
      <c r="C7" s="22" t="s">
        <v>103</v>
      </c>
      <c r="D7" s="22" t="s">
        <v>104</v>
      </c>
      <c r="E7" s="18">
        <v>2</v>
      </c>
      <c r="F7" s="18">
        <v>3</v>
      </c>
      <c r="G7" s="23">
        <f t="shared" si="0"/>
        <v>1.5</v>
      </c>
      <c r="H7" s="21"/>
      <c r="I7" s="24">
        <f>'4. Tableau de bord'!$C$5+30*1</f>
        <v>46325</v>
      </c>
      <c r="J7" s="21" t="s">
        <v>100</v>
      </c>
      <c r="K7" s="25">
        <f t="shared" si="1"/>
        <v>0</v>
      </c>
    </row>
    <row r="8" spans="1:11" ht="30" customHeight="1" x14ac:dyDescent="0.35">
      <c r="A8" s="18">
        <v>4</v>
      </c>
      <c r="B8" s="19" t="s">
        <v>97</v>
      </c>
      <c r="C8" s="22" t="s">
        <v>105</v>
      </c>
      <c r="D8" s="22" t="s">
        <v>106</v>
      </c>
      <c r="E8" s="18">
        <v>2</v>
      </c>
      <c r="F8" s="18">
        <v>3</v>
      </c>
      <c r="G8" s="23">
        <f t="shared" si="0"/>
        <v>1.5</v>
      </c>
      <c r="H8" s="21"/>
      <c r="I8" s="24">
        <f>'4. Tableau de bord'!$C$5+30*1</f>
        <v>46325</v>
      </c>
      <c r="J8" s="21" t="s">
        <v>100</v>
      </c>
      <c r="K8" s="25">
        <f t="shared" si="1"/>
        <v>0</v>
      </c>
    </row>
    <row r="9" spans="1:11" ht="30" customHeight="1" x14ac:dyDescent="0.35">
      <c r="A9" s="18">
        <v>5</v>
      </c>
      <c r="B9" s="19" t="s">
        <v>97</v>
      </c>
      <c r="C9" s="22" t="s">
        <v>107</v>
      </c>
      <c r="D9" s="22" t="s">
        <v>108</v>
      </c>
      <c r="E9" s="18">
        <v>2</v>
      </c>
      <c r="F9" s="18">
        <v>3</v>
      </c>
      <c r="G9" s="23">
        <f t="shared" si="0"/>
        <v>1.5</v>
      </c>
      <c r="H9" s="21"/>
      <c r="I9" s="24">
        <f>'4. Tableau de bord'!$C$5+30*1</f>
        <v>46325</v>
      </c>
      <c r="J9" s="21" t="s">
        <v>100</v>
      </c>
      <c r="K9" s="25">
        <f t="shared" si="1"/>
        <v>0</v>
      </c>
    </row>
    <row r="10" spans="1:11" ht="30" customHeight="1" x14ac:dyDescent="0.35">
      <c r="A10" s="18">
        <v>6</v>
      </c>
      <c r="B10" s="19" t="s">
        <v>97</v>
      </c>
      <c r="C10" s="22" t="s">
        <v>109</v>
      </c>
      <c r="D10" s="22" t="s">
        <v>110</v>
      </c>
      <c r="E10" s="18">
        <v>2</v>
      </c>
      <c r="F10" s="18">
        <v>3</v>
      </c>
      <c r="G10" s="23">
        <f t="shared" si="0"/>
        <v>1.5</v>
      </c>
      <c r="H10" s="21"/>
      <c r="I10" s="24">
        <f>'4. Tableau de bord'!$C$5+30*1</f>
        <v>46325</v>
      </c>
      <c r="J10" s="21" t="s">
        <v>100</v>
      </c>
      <c r="K10" s="25">
        <f t="shared" si="1"/>
        <v>0</v>
      </c>
    </row>
    <row r="11" spans="1:11" ht="30" customHeight="1" x14ac:dyDescent="0.35">
      <c r="A11" s="18">
        <v>7</v>
      </c>
      <c r="B11" s="19" t="s">
        <v>97</v>
      </c>
      <c r="C11" s="22" t="s">
        <v>111</v>
      </c>
      <c r="D11" s="22" t="s">
        <v>112</v>
      </c>
      <c r="E11" s="18">
        <v>2</v>
      </c>
      <c r="F11" s="18">
        <v>2</v>
      </c>
      <c r="G11" s="23">
        <f t="shared" si="0"/>
        <v>1</v>
      </c>
      <c r="H11" s="21"/>
      <c r="I11" s="24">
        <f>'4. Tableau de bord'!$C$5+30*1</f>
        <v>46325</v>
      </c>
      <c r="J11" s="21" t="s">
        <v>100</v>
      </c>
      <c r="K11" s="25">
        <f t="shared" si="1"/>
        <v>0</v>
      </c>
    </row>
    <row r="12" spans="1:11" ht="30" customHeight="1" x14ac:dyDescent="0.35">
      <c r="A12" s="18">
        <v>8</v>
      </c>
      <c r="B12" s="19" t="s">
        <v>97</v>
      </c>
      <c r="C12" s="22" t="s">
        <v>113</v>
      </c>
      <c r="D12" s="22" t="s">
        <v>114</v>
      </c>
      <c r="E12" s="18">
        <v>1</v>
      </c>
      <c r="F12" s="18">
        <v>2</v>
      </c>
      <c r="G12" s="23">
        <f t="shared" si="0"/>
        <v>2</v>
      </c>
      <c r="H12" s="21"/>
      <c r="I12" s="24">
        <f>'4. Tableau de bord'!$C$5+30*1</f>
        <v>46325</v>
      </c>
      <c r="J12" s="21" t="s">
        <v>100</v>
      </c>
      <c r="K12" s="25">
        <f t="shared" si="1"/>
        <v>0</v>
      </c>
    </row>
    <row r="13" spans="1:11" ht="30" customHeight="1" x14ac:dyDescent="0.35">
      <c r="A13" s="18">
        <v>9</v>
      </c>
      <c r="B13" s="19" t="s">
        <v>115</v>
      </c>
      <c r="C13" s="22" t="s">
        <v>116</v>
      </c>
      <c r="D13" s="22" t="s">
        <v>117</v>
      </c>
      <c r="E13" s="18">
        <v>2</v>
      </c>
      <c r="F13" s="18">
        <v>3</v>
      </c>
      <c r="G13" s="23">
        <f t="shared" si="0"/>
        <v>1.5</v>
      </c>
      <c r="H13" s="21"/>
      <c r="I13" s="24">
        <f>'4. Tableau de bord'!$C$5+30*2</f>
        <v>46355</v>
      </c>
      <c r="J13" s="21" t="s">
        <v>100</v>
      </c>
      <c r="K13" s="25">
        <f t="shared" si="1"/>
        <v>0</v>
      </c>
    </row>
    <row r="14" spans="1:11" ht="30" customHeight="1" x14ac:dyDescent="0.35">
      <c r="A14" s="18">
        <v>10</v>
      </c>
      <c r="B14" s="19" t="s">
        <v>115</v>
      </c>
      <c r="C14" s="22" t="s">
        <v>118</v>
      </c>
      <c r="D14" s="22" t="s">
        <v>119</v>
      </c>
      <c r="E14" s="18">
        <v>2</v>
      </c>
      <c r="F14" s="18">
        <v>2</v>
      </c>
      <c r="G14" s="23">
        <f t="shared" si="0"/>
        <v>1</v>
      </c>
      <c r="H14" s="21"/>
      <c r="I14" s="24">
        <f>'4. Tableau de bord'!$C$5+30*2</f>
        <v>46355</v>
      </c>
      <c r="J14" s="21" t="s">
        <v>100</v>
      </c>
      <c r="K14" s="25">
        <f t="shared" si="1"/>
        <v>0</v>
      </c>
    </row>
    <row r="15" spans="1:11" ht="30" customHeight="1" x14ac:dyDescent="0.35">
      <c r="A15" s="18">
        <v>11</v>
      </c>
      <c r="B15" s="19" t="s">
        <v>115</v>
      </c>
      <c r="C15" s="22" t="s">
        <v>120</v>
      </c>
      <c r="D15" s="22" t="s">
        <v>121</v>
      </c>
      <c r="E15" s="18">
        <v>3</v>
      </c>
      <c r="F15" s="18">
        <v>3</v>
      </c>
      <c r="G15" s="23">
        <f t="shared" si="0"/>
        <v>1</v>
      </c>
      <c r="H15" s="21"/>
      <c r="I15" s="24">
        <f>'4. Tableau de bord'!$C$5+30*2</f>
        <v>46355</v>
      </c>
      <c r="J15" s="21" t="s">
        <v>100</v>
      </c>
      <c r="K15" s="25">
        <f t="shared" si="1"/>
        <v>0</v>
      </c>
    </row>
    <row r="16" spans="1:11" ht="30" customHeight="1" x14ac:dyDescent="0.35">
      <c r="A16" s="18">
        <v>12</v>
      </c>
      <c r="B16" s="19" t="s">
        <v>115</v>
      </c>
      <c r="C16" s="22" t="s">
        <v>122</v>
      </c>
      <c r="D16" s="22" t="s">
        <v>123</v>
      </c>
      <c r="E16" s="18">
        <v>2</v>
      </c>
      <c r="F16" s="18">
        <v>3</v>
      </c>
      <c r="G16" s="23">
        <f t="shared" si="0"/>
        <v>1.5</v>
      </c>
      <c r="H16" s="21"/>
      <c r="I16" s="24">
        <f>'4. Tableau de bord'!$C$5+30*2</f>
        <v>46355</v>
      </c>
      <c r="J16" s="21" t="s">
        <v>100</v>
      </c>
      <c r="K16" s="25">
        <f t="shared" si="1"/>
        <v>0</v>
      </c>
    </row>
    <row r="17" spans="1:11" ht="30" customHeight="1" x14ac:dyDescent="0.35">
      <c r="A17" s="18">
        <v>13</v>
      </c>
      <c r="B17" s="19" t="s">
        <v>115</v>
      </c>
      <c r="C17" s="22" t="s">
        <v>124</v>
      </c>
      <c r="D17" s="22" t="s">
        <v>125</v>
      </c>
      <c r="E17" s="18">
        <v>2</v>
      </c>
      <c r="F17" s="18">
        <v>3</v>
      </c>
      <c r="G17" s="23">
        <f t="shared" si="0"/>
        <v>1.5</v>
      </c>
      <c r="H17" s="21"/>
      <c r="I17" s="24">
        <f>'4. Tableau de bord'!$C$5+30*2</f>
        <v>46355</v>
      </c>
      <c r="J17" s="21" t="s">
        <v>100</v>
      </c>
      <c r="K17" s="25">
        <f t="shared" si="1"/>
        <v>0</v>
      </c>
    </row>
    <row r="18" spans="1:11" ht="30" customHeight="1" x14ac:dyDescent="0.35">
      <c r="A18" s="18">
        <v>14</v>
      </c>
      <c r="B18" s="19" t="s">
        <v>115</v>
      </c>
      <c r="C18" s="22" t="s">
        <v>126</v>
      </c>
      <c r="D18" s="22" t="s">
        <v>127</v>
      </c>
      <c r="E18" s="18">
        <v>2</v>
      </c>
      <c r="F18" s="18">
        <v>2</v>
      </c>
      <c r="G18" s="23">
        <f t="shared" si="0"/>
        <v>1</v>
      </c>
      <c r="H18" s="21"/>
      <c r="I18" s="24">
        <f>'4. Tableau de bord'!$C$5+30*2</f>
        <v>46355</v>
      </c>
      <c r="J18" s="21" t="s">
        <v>100</v>
      </c>
      <c r="K18" s="25">
        <f t="shared" si="1"/>
        <v>0</v>
      </c>
    </row>
    <row r="19" spans="1:11" ht="30" customHeight="1" x14ac:dyDescent="0.35">
      <c r="A19" s="18">
        <v>15</v>
      </c>
      <c r="B19" s="19" t="s">
        <v>115</v>
      </c>
      <c r="C19" s="22" t="s">
        <v>128</v>
      </c>
      <c r="D19" s="22" t="s">
        <v>129</v>
      </c>
      <c r="E19" s="18">
        <v>2</v>
      </c>
      <c r="F19" s="18">
        <v>2</v>
      </c>
      <c r="G19" s="23">
        <f t="shared" si="0"/>
        <v>1</v>
      </c>
      <c r="H19" s="21"/>
      <c r="I19" s="24">
        <f>'4. Tableau de bord'!$C$5+30*2</f>
        <v>46355</v>
      </c>
      <c r="J19" s="21" t="s">
        <v>100</v>
      </c>
      <c r="K19" s="25">
        <f t="shared" si="1"/>
        <v>0</v>
      </c>
    </row>
    <row r="20" spans="1:11" ht="30" customHeight="1" x14ac:dyDescent="0.35">
      <c r="A20" s="18">
        <v>16</v>
      </c>
      <c r="B20" s="19" t="s">
        <v>130</v>
      </c>
      <c r="C20" s="22" t="s">
        <v>131</v>
      </c>
      <c r="D20" s="22" t="s">
        <v>132</v>
      </c>
      <c r="E20" s="18">
        <v>2</v>
      </c>
      <c r="F20" s="18">
        <v>2</v>
      </c>
      <c r="G20" s="23">
        <f t="shared" si="0"/>
        <v>1</v>
      </c>
      <c r="H20" s="21"/>
      <c r="I20" s="24">
        <f>'4. Tableau de bord'!$C$5+30*3</f>
        <v>46385</v>
      </c>
      <c r="J20" s="21" t="s">
        <v>100</v>
      </c>
      <c r="K20" s="25">
        <f t="shared" si="1"/>
        <v>0</v>
      </c>
    </row>
    <row r="21" spans="1:11" ht="30" customHeight="1" x14ac:dyDescent="0.35">
      <c r="A21" s="18">
        <v>17</v>
      </c>
      <c r="B21" s="19" t="s">
        <v>130</v>
      </c>
      <c r="C21" s="22" t="s">
        <v>133</v>
      </c>
      <c r="D21" s="22" t="s">
        <v>134</v>
      </c>
      <c r="E21" s="18">
        <v>2</v>
      </c>
      <c r="F21" s="18">
        <v>3</v>
      </c>
      <c r="G21" s="23">
        <f t="shared" si="0"/>
        <v>1.5</v>
      </c>
      <c r="H21" s="21"/>
      <c r="I21" s="24">
        <f>'4. Tableau de bord'!$C$5+30*3</f>
        <v>46385</v>
      </c>
      <c r="J21" s="21" t="s">
        <v>100</v>
      </c>
      <c r="K21" s="25">
        <f t="shared" si="1"/>
        <v>0</v>
      </c>
    </row>
    <row r="22" spans="1:11" ht="30" customHeight="1" x14ac:dyDescent="0.35">
      <c r="A22" s="18">
        <v>18</v>
      </c>
      <c r="B22" s="19" t="s">
        <v>130</v>
      </c>
      <c r="C22" s="22" t="s">
        <v>135</v>
      </c>
      <c r="D22" s="22" t="s">
        <v>136</v>
      </c>
      <c r="E22" s="18">
        <v>2</v>
      </c>
      <c r="F22" s="18">
        <v>2</v>
      </c>
      <c r="G22" s="23">
        <f t="shared" si="0"/>
        <v>1</v>
      </c>
      <c r="H22" s="21"/>
      <c r="I22" s="24">
        <f>'4. Tableau de bord'!$C$5+30*3</f>
        <v>46385</v>
      </c>
      <c r="J22" s="21" t="s">
        <v>100</v>
      </c>
      <c r="K22" s="25">
        <f t="shared" si="1"/>
        <v>0</v>
      </c>
    </row>
    <row r="23" spans="1:11" ht="30" customHeight="1" x14ac:dyDescent="0.35">
      <c r="A23" s="18">
        <v>19</v>
      </c>
      <c r="B23" s="19" t="s">
        <v>130</v>
      </c>
      <c r="C23" s="22" t="s">
        <v>137</v>
      </c>
      <c r="D23" s="22" t="s">
        <v>138</v>
      </c>
      <c r="E23" s="18">
        <v>2</v>
      </c>
      <c r="F23" s="18">
        <v>2</v>
      </c>
      <c r="G23" s="23">
        <f t="shared" si="0"/>
        <v>1</v>
      </c>
      <c r="H23" s="21"/>
      <c r="I23" s="24">
        <f>'4. Tableau de bord'!$C$5+30*3</f>
        <v>46385</v>
      </c>
      <c r="J23" s="21" t="s">
        <v>100</v>
      </c>
      <c r="K23" s="25">
        <f t="shared" si="1"/>
        <v>0</v>
      </c>
    </row>
    <row r="24" spans="1:11" ht="30" customHeight="1" x14ac:dyDescent="0.35">
      <c r="A24" s="18">
        <v>20</v>
      </c>
      <c r="B24" s="19" t="s">
        <v>130</v>
      </c>
      <c r="C24" s="22" t="s">
        <v>139</v>
      </c>
      <c r="D24" s="22" t="s">
        <v>140</v>
      </c>
      <c r="E24" s="18">
        <v>1</v>
      </c>
      <c r="F24" s="18">
        <v>2</v>
      </c>
      <c r="G24" s="23">
        <f t="shared" si="0"/>
        <v>2</v>
      </c>
      <c r="H24" s="21"/>
      <c r="I24" s="24">
        <f>'4. Tableau de bord'!$C$5+30*3</f>
        <v>46385</v>
      </c>
      <c r="J24" s="21" t="s">
        <v>100</v>
      </c>
      <c r="K24" s="25">
        <f t="shared" si="1"/>
        <v>0</v>
      </c>
    </row>
    <row r="25" spans="1:11" ht="30" customHeight="1" x14ac:dyDescent="0.35">
      <c r="A25" s="18">
        <v>21</v>
      </c>
      <c r="B25" s="19" t="s">
        <v>130</v>
      </c>
      <c r="C25" s="22" t="s">
        <v>141</v>
      </c>
      <c r="D25" s="22" t="s">
        <v>142</v>
      </c>
      <c r="E25" s="18">
        <v>1</v>
      </c>
      <c r="F25" s="18">
        <v>2</v>
      </c>
      <c r="G25" s="23">
        <f t="shared" si="0"/>
        <v>2</v>
      </c>
      <c r="H25" s="21"/>
      <c r="I25" s="24">
        <f>'4. Tableau de bord'!$C$5+30*3</f>
        <v>46385</v>
      </c>
      <c r="J25" s="21" t="s">
        <v>100</v>
      </c>
      <c r="K25" s="25">
        <f t="shared" si="1"/>
        <v>0</v>
      </c>
    </row>
    <row r="27" spans="1:11" ht="25.5" customHeight="1" x14ac:dyDescent="0.35">
      <c r="A27" s="3" t="s">
        <v>143</v>
      </c>
      <c r="B27" s="3"/>
      <c r="C27" s="3"/>
      <c r="D27" s="3"/>
      <c r="E27" s="3"/>
      <c r="F27" s="3"/>
      <c r="G27" s="3"/>
      <c r="H27" s="3"/>
      <c r="I27" s="3"/>
      <c r="J27" s="3"/>
      <c r="K27" s="3"/>
    </row>
    <row r="28" spans="1:11" x14ac:dyDescent="0.35">
      <c r="A28" s="3"/>
      <c r="B28" s="3"/>
      <c r="C28" s="3"/>
      <c r="D28" s="3"/>
      <c r="E28" s="3"/>
      <c r="F28" s="3"/>
      <c r="G28" s="3"/>
      <c r="H28" s="3"/>
      <c r="I28" s="3"/>
      <c r="J28" s="3"/>
      <c r="K28" s="3"/>
    </row>
    <row r="30" spans="1:11" ht="18" x14ac:dyDescent="0.4">
      <c r="A30" s="8" t="s">
        <v>144</v>
      </c>
    </row>
    <row r="31" spans="1:11" ht="15" customHeight="1" x14ac:dyDescent="0.35">
      <c r="A31" s="3" t="s">
        <v>145</v>
      </c>
      <c r="B31" s="3"/>
      <c r="C31" s="3"/>
      <c r="D31" s="3"/>
      <c r="E31" s="3"/>
      <c r="F31" s="3"/>
      <c r="G31" s="3"/>
      <c r="H31" s="3"/>
      <c r="I31" s="3"/>
      <c r="J31" s="3"/>
      <c r="K31" s="3"/>
    </row>
    <row r="32" spans="1:11" x14ac:dyDescent="0.35">
      <c r="A32" s="3"/>
      <c r="B32" s="3"/>
      <c r="C32" s="3"/>
      <c r="D32" s="3"/>
      <c r="E32" s="3"/>
      <c r="F32" s="3"/>
      <c r="G32" s="3"/>
      <c r="H32" s="3"/>
      <c r="I32" s="3"/>
      <c r="J32" s="3"/>
      <c r="K32" s="3"/>
    </row>
    <row r="34" spans="1:11" x14ac:dyDescent="0.35">
      <c r="A34" s="5" t="s">
        <v>146</v>
      </c>
      <c r="B34" s="5"/>
      <c r="C34" s="5"/>
      <c r="D34" s="5"/>
      <c r="E34" s="5"/>
      <c r="F34" s="5"/>
      <c r="G34" s="5"/>
      <c r="H34" s="5"/>
      <c r="I34" s="5"/>
      <c r="J34" s="5"/>
      <c r="K34" s="5"/>
    </row>
    <row r="35" spans="1:11" ht="15" customHeight="1" x14ac:dyDescent="0.35">
      <c r="A35" s="26" t="s">
        <v>147</v>
      </c>
      <c r="C35" s="2" t="s">
        <v>148</v>
      </c>
      <c r="D35" s="2"/>
      <c r="E35" s="2"/>
      <c r="F35" s="2"/>
      <c r="G35" s="2"/>
      <c r="H35" s="2"/>
      <c r="I35" s="2"/>
      <c r="J35" s="2"/>
      <c r="K35" s="2"/>
    </row>
    <row r="36" spans="1:11" ht="15" customHeight="1" x14ac:dyDescent="0.35">
      <c r="A36" s="26" t="s">
        <v>149</v>
      </c>
      <c r="C36" s="2" t="s">
        <v>150</v>
      </c>
      <c r="D36" s="2"/>
      <c r="E36" s="2"/>
      <c r="F36" s="2"/>
      <c r="G36" s="2"/>
      <c r="H36" s="2"/>
      <c r="I36" s="2"/>
      <c r="J36" s="2"/>
      <c r="K36" s="2"/>
    </row>
    <row r="37" spans="1:11" ht="15" customHeight="1" x14ac:dyDescent="0.35">
      <c r="A37" s="26" t="s">
        <v>151</v>
      </c>
      <c r="C37" s="2" t="s">
        <v>152</v>
      </c>
      <c r="D37" s="2"/>
      <c r="E37" s="2"/>
      <c r="F37" s="2"/>
      <c r="G37" s="2"/>
      <c r="H37" s="2"/>
      <c r="I37" s="2"/>
      <c r="J37" s="2"/>
      <c r="K37" s="2"/>
    </row>
    <row r="38" spans="1:11" x14ac:dyDescent="0.35">
      <c r="A38" s="5" t="s">
        <v>153</v>
      </c>
      <c r="B38" s="5"/>
      <c r="C38" s="5"/>
      <c r="D38" s="5"/>
      <c r="E38" s="5"/>
      <c r="F38" s="5"/>
      <c r="G38" s="5"/>
      <c r="H38" s="5"/>
      <c r="I38" s="5"/>
      <c r="J38" s="5"/>
      <c r="K38" s="5"/>
    </row>
    <row r="39" spans="1:11" ht="15" customHeight="1" x14ac:dyDescent="0.35">
      <c r="A39" s="26" t="s">
        <v>151</v>
      </c>
      <c r="C39" s="2" t="s">
        <v>154</v>
      </c>
      <c r="D39" s="2"/>
      <c r="E39" s="2"/>
      <c r="F39" s="2"/>
      <c r="G39" s="2"/>
      <c r="H39" s="2"/>
      <c r="I39" s="2"/>
      <c r="J39" s="2"/>
      <c r="K39" s="2"/>
    </row>
    <row r="40" spans="1:11" ht="15" customHeight="1" x14ac:dyDescent="0.35">
      <c r="A40" s="26" t="s">
        <v>149</v>
      </c>
      <c r="C40" s="2" t="s">
        <v>155</v>
      </c>
      <c r="D40" s="2"/>
      <c r="E40" s="2"/>
      <c r="F40" s="2"/>
      <c r="G40" s="2"/>
      <c r="H40" s="2"/>
      <c r="I40" s="2"/>
      <c r="J40" s="2"/>
      <c r="K40" s="2"/>
    </row>
    <row r="41" spans="1:11" ht="15" customHeight="1" x14ac:dyDescent="0.35">
      <c r="A41" s="26" t="s">
        <v>147</v>
      </c>
      <c r="C41" s="2" t="s">
        <v>156</v>
      </c>
      <c r="D41" s="2"/>
      <c r="E41" s="2"/>
      <c r="F41" s="2"/>
      <c r="G41" s="2"/>
      <c r="H41" s="2"/>
      <c r="I41" s="2"/>
      <c r="J41" s="2"/>
      <c r="K41" s="2"/>
    </row>
    <row r="43" spans="1:11" ht="15" customHeight="1" x14ac:dyDescent="0.35">
      <c r="A43" s="3" t="s">
        <v>157</v>
      </c>
      <c r="B43" s="3"/>
      <c r="C43" s="3"/>
      <c r="D43" s="3"/>
      <c r="E43" s="3"/>
      <c r="F43" s="3"/>
      <c r="G43" s="3"/>
      <c r="H43" s="3"/>
      <c r="I43" s="3"/>
      <c r="J43" s="3"/>
      <c r="K43" s="3"/>
    </row>
    <row r="44" spans="1:11" x14ac:dyDescent="0.35">
      <c r="A44" s="3"/>
      <c r="B44" s="3"/>
      <c r="C44" s="3"/>
      <c r="D44" s="3"/>
      <c r="E44" s="3"/>
      <c r="F44" s="3"/>
      <c r="G44" s="3"/>
      <c r="H44" s="3"/>
      <c r="I44" s="3"/>
      <c r="J44" s="3"/>
      <c r="K44" s="3"/>
    </row>
  </sheetData>
  <mergeCells count="11">
    <mergeCell ref="A43:K44"/>
    <mergeCell ref="C37:K37"/>
    <mergeCell ref="A38:K38"/>
    <mergeCell ref="C39:K39"/>
    <mergeCell ref="C40:K40"/>
    <mergeCell ref="C41:K41"/>
    <mergeCell ref="A27:K28"/>
    <mergeCell ref="A31:K32"/>
    <mergeCell ref="A34:K34"/>
    <mergeCell ref="C35:K35"/>
    <mergeCell ref="C36:K36"/>
  </mergeCells>
  <dataValidations count="1">
    <dataValidation type="list" allowBlank="1" sqref="J5:J25" xr:uid="{00000000-0002-0000-0200-000000000000}">
      <formula1>"Non démarré,En cours,Fait,Non applicable"</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1"/>
  <sheetViews>
    <sheetView showGridLines="0" zoomScaleNormal="100" workbookViewId="0"/>
  </sheetViews>
  <sheetFormatPr baseColWidth="10" defaultColWidth="8.6328125" defaultRowHeight="14.5" x14ac:dyDescent="0.35"/>
  <cols>
    <col min="1" max="1" width="40" customWidth="1"/>
    <col min="2" max="2" width="46" customWidth="1"/>
    <col min="3" max="3" width="12" customWidth="1"/>
    <col min="4" max="6" width="13" customWidth="1"/>
    <col min="7" max="7" width="16" customWidth="1"/>
  </cols>
  <sheetData>
    <row r="1" spans="1:7" ht="17.25" customHeight="1" x14ac:dyDescent="0.4">
      <c r="A1" s="8" t="s">
        <v>158</v>
      </c>
    </row>
    <row r="2" spans="1:7" ht="15" customHeight="1" x14ac:dyDescent="0.35">
      <c r="A2" s="7" t="s">
        <v>159</v>
      </c>
    </row>
    <row r="4" spans="1:7" ht="39.75" customHeight="1" x14ac:dyDescent="0.35">
      <c r="A4" s="15" t="s">
        <v>160</v>
      </c>
      <c r="B4" s="15" t="s">
        <v>161</v>
      </c>
      <c r="C4" s="15" t="s">
        <v>162</v>
      </c>
      <c r="D4" s="15" t="s">
        <v>163</v>
      </c>
      <c r="E4" s="15" t="s">
        <v>164</v>
      </c>
      <c r="F4" s="15" t="s">
        <v>165</v>
      </c>
      <c r="G4" s="15" t="s">
        <v>166</v>
      </c>
    </row>
    <row r="5" spans="1:7" ht="33.75" customHeight="1" x14ac:dyDescent="0.35">
      <c r="A5" s="27" t="s">
        <v>167</v>
      </c>
      <c r="B5" s="22" t="s">
        <v>168</v>
      </c>
      <c r="C5" s="18" t="s">
        <v>169</v>
      </c>
      <c r="D5" s="28">
        <v>0.3</v>
      </c>
      <c r="E5" s="28">
        <v>0.3</v>
      </c>
      <c r="F5" s="25">
        <v>1</v>
      </c>
      <c r="G5" s="19" t="str">
        <f>IF(E5="","",IF(C5="Hausse",IF(E5&gt;=F5,"Cible atteinte","À poursuivre"),IF(E5&lt;=F5,"Cible atteinte","À poursuivre")))</f>
        <v>À poursuivre</v>
      </c>
    </row>
    <row r="6" spans="1:7" ht="33.75" customHeight="1" x14ac:dyDescent="0.35">
      <c r="A6" s="27" t="s">
        <v>170</v>
      </c>
      <c r="B6" s="22" t="s">
        <v>171</v>
      </c>
      <c r="C6" s="18" t="s">
        <v>172</v>
      </c>
      <c r="D6" s="29">
        <v>45</v>
      </c>
      <c r="E6" s="29">
        <v>45</v>
      </c>
      <c r="F6" s="30">
        <v>14</v>
      </c>
      <c r="G6" s="19" t="str">
        <f>IF(E6="","",IF(C6="Hausse",IF(E6&gt;=F6,"Cible atteinte","À poursuivre"),IF(E6&lt;=F6,"Cible atteinte","À poursuivre")))</f>
        <v>À poursuivre</v>
      </c>
    </row>
    <row r="7" spans="1:7" ht="33.75" customHeight="1" x14ac:dyDescent="0.35">
      <c r="A7" s="27" t="s">
        <v>173</v>
      </c>
      <c r="B7" s="22" t="s">
        <v>174</v>
      </c>
      <c r="C7" s="18" t="s">
        <v>172</v>
      </c>
      <c r="D7" s="29">
        <v>365</v>
      </c>
      <c r="E7" s="29">
        <v>365</v>
      </c>
      <c r="F7" s="30">
        <v>90</v>
      </c>
      <c r="G7" s="19" t="str">
        <f>IF(E7="","",IF(C7="Hausse",IF(E7&gt;=F7,"Cible atteinte","À poursuivre"),IF(E7&lt;=F7,"Cible atteinte","À poursuivre")))</f>
        <v>À poursuivre</v>
      </c>
    </row>
    <row r="8" spans="1:7" ht="33.75" customHeight="1" x14ac:dyDescent="0.35">
      <c r="A8" s="27" t="s">
        <v>175</v>
      </c>
      <c r="B8" s="22" t="s">
        <v>176</v>
      </c>
      <c r="C8" s="18" t="s">
        <v>172</v>
      </c>
      <c r="D8" s="28">
        <v>0.18</v>
      </c>
      <c r="E8" s="28">
        <v>0.18</v>
      </c>
      <c r="F8" s="25">
        <v>0.02</v>
      </c>
      <c r="G8" s="19" t="str">
        <f>IF(E8="","",IF(C8="Hausse",IF(E8&gt;=F8,"Cible atteinte","À poursuivre"),IF(E8&lt;=F8,"Cible atteinte","À poursuivre")))</f>
        <v>À poursuivre</v>
      </c>
    </row>
    <row r="9" spans="1:7" ht="33.75" customHeight="1" x14ac:dyDescent="0.35">
      <c r="A9" s="27" t="s">
        <v>177</v>
      </c>
      <c r="B9" s="22" t="s">
        <v>178</v>
      </c>
      <c r="C9" s="18" t="s">
        <v>169</v>
      </c>
      <c r="D9" s="28">
        <v>0</v>
      </c>
      <c r="E9" s="25">
        <f>IFERROR(AVERAGE('2. Plan 90 jours'!K5:K25),0)</f>
        <v>0</v>
      </c>
      <c r="F9" s="25">
        <v>1</v>
      </c>
      <c r="G9" s="19" t="str">
        <f>IF(E9="","",IF(C9="Hausse",IF(E9&gt;=F9,"Cible atteinte","À poursuivre"),IF(E9&lt;=F9,"Cible atteinte","À poursuivre")))</f>
        <v>À poursuivre</v>
      </c>
    </row>
    <row r="11" spans="1:7" ht="15" customHeight="1" x14ac:dyDescent="0.35">
      <c r="A11" s="1" t="s">
        <v>179</v>
      </c>
      <c r="B11" s="1"/>
      <c r="C11" s="1"/>
      <c r="D11" s="1"/>
      <c r="E11" s="1"/>
      <c r="F11" s="1"/>
      <c r="G11" s="1"/>
    </row>
  </sheetData>
  <mergeCells count="1">
    <mergeCell ref="A11:G1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F27"/>
  <sheetViews>
    <sheetView showGridLines="0" zoomScaleNormal="100" workbookViewId="0">
      <selection activeCell="F13" sqref="F13"/>
    </sheetView>
  </sheetViews>
  <sheetFormatPr baseColWidth="10" defaultColWidth="8.6328125" defaultRowHeight="14.5" x14ac:dyDescent="0.35"/>
  <cols>
    <col min="1" max="1" width="3" customWidth="1"/>
    <col min="2" max="2" width="34" customWidth="1"/>
    <col min="3" max="5" width="16" customWidth="1"/>
    <col min="6" max="6" width="4" customWidth="1"/>
    <col min="7" max="7" width="26" customWidth="1"/>
    <col min="8" max="9" width="14" customWidth="1"/>
  </cols>
  <sheetData>
    <row r="2" spans="2:4" ht="19.5" customHeight="1" x14ac:dyDescent="0.4">
      <c r="B2" s="6" t="s">
        <v>180</v>
      </c>
    </row>
    <row r="3" spans="2:4" ht="15" customHeight="1" x14ac:dyDescent="0.35">
      <c r="B3" s="7" t="s">
        <v>181</v>
      </c>
    </row>
    <row r="5" spans="2:4" ht="15" customHeight="1" x14ac:dyDescent="0.35">
      <c r="B5" s="9" t="s">
        <v>182</v>
      </c>
      <c r="C5" s="31">
        <v>46295</v>
      </c>
    </row>
    <row r="6" spans="2:4" ht="15" customHeight="1" x14ac:dyDescent="0.35">
      <c r="B6" s="9" t="s">
        <v>183</v>
      </c>
      <c r="C6" s="18">
        <f ca="1">TODAY()-C5</f>
        <v>-5</v>
      </c>
      <c r="D6" s="7" t="s">
        <v>184</v>
      </c>
    </row>
    <row r="8" spans="2:4" ht="15" customHeight="1" x14ac:dyDescent="0.35">
      <c r="B8" s="32" t="s">
        <v>185</v>
      </c>
    </row>
    <row r="9" spans="2:4" ht="15" customHeight="1" x14ac:dyDescent="0.35">
      <c r="B9" s="33" t="s">
        <v>186</v>
      </c>
      <c r="C9" s="34">
        <f>IFERROR(AVERAGE('2. Plan 90 jours'!K5:K25),0)</f>
        <v>0</v>
      </c>
    </row>
    <row r="10" spans="2:4" ht="15" customHeight="1" x14ac:dyDescent="0.35">
      <c r="B10" s="33" t="s">
        <v>187</v>
      </c>
      <c r="C10" s="35">
        <f>COUNTIF('2. Plan 90 jours'!J5:J25,"Fait")</f>
        <v>0</v>
      </c>
    </row>
    <row r="11" spans="2:4" ht="15" customHeight="1" x14ac:dyDescent="0.35">
      <c r="B11" s="33" t="s">
        <v>188</v>
      </c>
      <c r="C11" s="35">
        <f>COUNTIF('2. Plan 90 jours'!J5:J25,"En cours")</f>
        <v>0</v>
      </c>
    </row>
    <row r="12" spans="2:4" ht="15" customHeight="1" x14ac:dyDescent="0.35">
      <c r="B12" s="33" t="s">
        <v>189</v>
      </c>
      <c r="C12" s="35">
        <f>COUNTIF('2. Plan 90 jours'!J5:J25,"Non démarré")</f>
        <v>21</v>
      </c>
    </row>
    <row r="13" spans="2:4" ht="15" customHeight="1" x14ac:dyDescent="0.35">
      <c r="B13" s="33" t="s">
        <v>190</v>
      </c>
      <c r="C13" s="35">
        <f ca="1">COUNTIFS('2. Plan 90 jours'!I5:I25,"&lt;"&amp;TODAY(),'2. Plan 90 jours'!J5:J25,"&lt;&gt;Fait",'2. Plan 90 jours'!J5:J25,"&lt;&gt;Non applicable")</f>
        <v>0</v>
      </c>
    </row>
    <row r="15" spans="2:4" ht="15" customHeight="1" x14ac:dyDescent="0.35">
      <c r="B15" s="32" t="s">
        <v>191</v>
      </c>
    </row>
    <row r="16" spans="2:4" ht="15" customHeight="1" x14ac:dyDescent="0.35">
      <c r="B16" s="15" t="s">
        <v>87</v>
      </c>
      <c r="C16" s="15" t="s">
        <v>192</v>
      </c>
      <c r="D16" s="15" t="s">
        <v>96</v>
      </c>
    </row>
    <row r="17" spans="2:6" ht="15" customHeight="1" x14ac:dyDescent="0.35">
      <c r="B17" s="33" t="s">
        <v>193</v>
      </c>
      <c r="C17" s="18" t="s">
        <v>194</v>
      </c>
      <c r="D17" s="34">
        <f>IFERROR(AVERAGEIFS('2. Plan 90 jours'!K5:K25,'2. Plan 90 jours'!B5:B25,"Vague 1"),0)</f>
        <v>0</v>
      </c>
    </row>
    <row r="18" spans="2:6" ht="15" customHeight="1" x14ac:dyDescent="0.35">
      <c r="B18" s="33" t="s">
        <v>195</v>
      </c>
      <c r="C18" s="18" t="s">
        <v>196</v>
      </c>
      <c r="D18" s="34">
        <f>IFERROR(AVERAGEIFS('2. Plan 90 jours'!K5:K25,'2. Plan 90 jours'!B5:B25,"Vague 2"),0)</f>
        <v>0</v>
      </c>
    </row>
    <row r="19" spans="2:6" ht="15" customHeight="1" x14ac:dyDescent="0.35">
      <c r="B19" s="33" t="s">
        <v>197</v>
      </c>
      <c r="C19" s="18" t="s">
        <v>198</v>
      </c>
      <c r="D19" s="34">
        <f>IFERROR(AVERAGEIFS('2. Plan 90 jours'!K5:K25,'2. Plan 90 jours'!B5:B25,"Vague 3"),0)</f>
        <v>0</v>
      </c>
    </row>
    <row r="21" spans="2:6" ht="15" customHeight="1" x14ac:dyDescent="0.35">
      <c r="B21" s="32" t="s">
        <v>199</v>
      </c>
    </row>
    <row r="22" spans="2:6" ht="23.25" customHeight="1" x14ac:dyDescent="0.35">
      <c r="B22" s="15" t="s">
        <v>160</v>
      </c>
      <c r="C22" s="15" t="s">
        <v>200</v>
      </c>
      <c r="D22" s="15" t="s">
        <v>201</v>
      </c>
      <c r="E22" s="15" t="s">
        <v>202</v>
      </c>
      <c r="F22" s="15" t="s">
        <v>95</v>
      </c>
    </row>
    <row r="23" spans="2:6" ht="25.5" customHeight="1" x14ac:dyDescent="0.35">
      <c r="B23" s="22" t="str">
        <f>'3. Indicateurs'!A5</f>
        <v>Part des comptes à privilèges protégés par authentification multifacteur</v>
      </c>
      <c r="C23" s="25">
        <f>'3. Indicateurs'!D5</f>
        <v>0.3</v>
      </c>
      <c r="D23" s="25">
        <f>'3. Indicateurs'!E5</f>
        <v>0.3</v>
      </c>
      <c r="E23" s="25">
        <f>'3. Indicateurs'!F5</f>
        <v>1</v>
      </c>
      <c r="F23" s="19" t="str">
        <f>'3. Indicateurs'!G5</f>
        <v>À poursuivre</v>
      </c>
    </row>
    <row r="24" spans="2:6" ht="25.5" customHeight="1" x14ac:dyDescent="0.35">
      <c r="B24" s="22" t="str">
        <f>'3. Indicateurs'!A6</f>
        <v>Délai moyen de correction des vulnérabilités critiques exposées (jours)</v>
      </c>
      <c r="C24" s="30">
        <f>'3. Indicateurs'!D6</f>
        <v>45</v>
      </c>
      <c r="D24" s="30">
        <f>'3. Indicateurs'!E6</f>
        <v>45</v>
      </c>
      <c r="E24" s="30">
        <f>'3. Indicateurs'!F6</f>
        <v>14</v>
      </c>
      <c r="F24" s="19" t="str">
        <f>'3. Indicateurs'!G6</f>
        <v>À poursuivre</v>
      </c>
    </row>
    <row r="25" spans="2:6" ht="25.5" customHeight="1" x14ac:dyDescent="0.35">
      <c r="B25" s="22" t="str">
        <f>'3. Indicateurs'!A7</f>
        <v>Jours écoulés depuis le dernier test de restauration réussi</v>
      </c>
      <c r="C25" s="30">
        <f>'3. Indicateurs'!D7</f>
        <v>365</v>
      </c>
      <c r="D25" s="30">
        <f>'3. Indicateurs'!E7</f>
        <v>365</v>
      </c>
      <c r="E25" s="30">
        <f>'3. Indicateurs'!F7</f>
        <v>90</v>
      </c>
      <c r="F25" s="19" t="str">
        <f>'3. Indicateurs'!G7</f>
        <v>À poursuivre</v>
      </c>
    </row>
    <row r="26" spans="2:6" ht="25.5" customHeight="1" x14ac:dyDescent="0.35">
      <c r="B26" s="22" t="str">
        <f>'3. Indicateurs'!A8</f>
        <v>Part des comptes inactifs depuis plus de 90 jours</v>
      </c>
      <c r="C26" s="25">
        <f>'3. Indicateurs'!D8</f>
        <v>0.18</v>
      </c>
      <c r="D26" s="25">
        <f>'3. Indicateurs'!E8</f>
        <v>0.18</v>
      </c>
      <c r="E26" s="25">
        <f>'3. Indicateurs'!F8</f>
        <v>0.02</v>
      </c>
      <c r="F26" s="19" t="str">
        <f>'3. Indicateurs'!G8</f>
        <v>À poursuivre</v>
      </c>
    </row>
    <row r="27" spans="2:6" ht="25.5" customHeight="1" x14ac:dyDescent="0.35">
      <c r="B27" s="22" t="str">
        <f>'3. Indicateurs'!A9</f>
        <v>Part du plan 90 jours réalisée</v>
      </c>
      <c r="C27" s="25">
        <f>'3. Indicateurs'!D9</f>
        <v>0</v>
      </c>
      <c r="D27" s="25">
        <f>'3. Indicateurs'!E9</f>
        <v>0</v>
      </c>
      <c r="E27" s="25">
        <f>'3. Indicateurs'!F9</f>
        <v>1</v>
      </c>
      <c r="F27" s="19" t="str">
        <f>'3. Indicateurs'!G9</f>
        <v>À poursuivre</v>
      </c>
    </row>
  </sheetData>
  <pageMargins left="0.75" right="0.75" top="1" bottom="1"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Mode d'emploi</vt:lpstr>
      <vt:lpstr>1. Inventaire des actifs</vt:lpstr>
      <vt:lpstr>2. Plan 90 jours</vt:lpstr>
      <vt:lpstr>3. Indicateurs</vt:lpstr>
      <vt:lpstr>4. Tableau de bord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Plan 90 jours — Protection des actifs</dc:title>
  <dc:subject>Webinaire — Protéger les actifs de son entreprise en 90 jours</dc:subject>
  <dc:creator>Isaïe Djrolo</dc:creator>
  <dc:description>Livrable remis aux participants du webinaire.</dc:description>
  <cp:lastModifiedBy>Admin1</cp:lastModifiedBy>
  <cp:revision>2</cp:revision>
  <dcterms:created xsi:type="dcterms:W3CDTF">2026-09-02T13:15:11Z</dcterms:created>
  <dcterms:modified xsi:type="dcterms:W3CDTF">2026-09-25T13:04:59Z</dcterms:modified>
  <dc:language>fr-CA</dc:language>
</cp:coreProperties>
</file>